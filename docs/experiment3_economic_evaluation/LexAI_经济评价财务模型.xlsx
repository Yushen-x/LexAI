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7a7f08396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6754eb67a54d8e"/>
    <x:sheet xmlns:r="http://schemas.openxmlformats.org/officeDocument/2006/relationships" name="Inputs" sheetId="2" r:id="R320fb1dea303406f"/>
    <x:sheet xmlns:r="http://schemas.openxmlformats.org/officeDocument/2006/relationships" name="Revenue" sheetId="3" r:id="R8c9c0906c6ff41e7"/>
    <x:sheet xmlns:r="http://schemas.openxmlformats.org/officeDocument/2006/relationships" name="Costs" sheetId="4" r:id="R633894d288fe4e4a"/>
    <x:sheet xmlns:r="http://schemas.openxmlformats.org/officeDocument/2006/relationships" name="CashFlow" sheetId="5" r:id="Re80e572fbb73489e"/>
    <x:sheet xmlns:r="http://schemas.openxmlformats.org/officeDocument/2006/relationships" name="Sensitivity" sheetId="6" r:id="Rdde2aba04a0443d8"/>
    <x:sheet xmlns:r="http://schemas.openxmlformats.org/officeDocument/2006/relationships" name="Checks" sheetId="7" r:id="R7bb906bbda324b60"/>
    <x:sheet xmlns:r="http://schemas.openxmlformats.org/officeDocument/2006/relationships" name="Sources" sheetId="8" r:id="R7f47ee83c7fd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&quot;¥&quot;#,##0;[Red](&quot;¥&quot;#,##0);-"/>
    <x:numFmt numFmtId="202" formatCode="#,##0;[Red](#,##0);-"/>
    <x:numFmt numFmtId="203" formatCode="0.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0"/>
      <x:color rgb="FF111827"/>
      <x:name val="Microsoft YaHei"/>
    </x:font>
    <x:font>
      <x:sz val="10"/>
      <x:color rgb="FF111827"/>
      <x:name val="Microsoft YaHei"/>
    </x:font>
    <x:font>
      <x:b/>
      <x:sz val="15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15803D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6724c7dd5476b" /><Relationship Type="http://schemas.openxmlformats.org/officeDocument/2006/relationships/theme" Target="/xl/theme/theme1.xml" Id="Raa9aaedc0b874eed" /><Relationship Type="http://schemas.openxmlformats.org/officeDocument/2006/relationships/sharedStrings" Target="/xl/sharedStrings.xml" Id="R350a7ea4d1fb49c6" /><Relationship Type="http://schemas.openxmlformats.org/officeDocument/2006/relationships/worksheet" Target="/xl/worksheets/sheet1.xml" Id="R006754eb67a54d8e" /><Relationship Type="http://schemas.openxmlformats.org/officeDocument/2006/relationships/worksheet" Target="/xl/worksheets/sheet2.xml" Id="R320fb1dea303406f" /><Relationship Type="http://schemas.openxmlformats.org/officeDocument/2006/relationships/worksheet" Target="/xl/worksheets/sheet3.xml" Id="R8c9c0906c6ff41e7" /><Relationship Type="http://schemas.openxmlformats.org/officeDocument/2006/relationships/worksheet" Target="/xl/worksheets/sheet4.xml" Id="R633894d288fe4e4a" /><Relationship Type="http://schemas.openxmlformats.org/officeDocument/2006/relationships/worksheet" Target="/xl/worksheets/sheet5.xml" Id="Re80e572fbb73489e" /><Relationship Type="http://schemas.openxmlformats.org/officeDocument/2006/relationships/worksheet" Target="/xl/worksheets/sheet6.xml" Id="Rdde2aba04a0443d8" /><Relationship Type="http://schemas.openxmlformats.org/officeDocument/2006/relationships/worksheet" Target="/xl/worksheets/sheet7.xml" Id="R7bb906bbda324b60" /><Relationship Type="http://schemas.openxmlformats.org/officeDocument/2006/relationships/worksheet" Target="/xl/worksheets/sheet8.xml" Id="R7f47ee83c7fd4a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9418c64db141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ba1d2e3e63140c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740e1bc5fb544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EBITDA and FCF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'Summary'!$B$16:$B$20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Opex</c:v>
          </c:tx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'Summary'!$C$16:$C$20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'Summary'!$D$16:$D$20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Free Cash Flow</c:v>
          </c:tx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'Summary'!$E$16:$E$20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Cumulative FCF</c:v>
          </c:tx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'Summary'!$F$16:$F$20</c:f>
              <c:numCache>
                <c:formatCode>"¥"#,##0;[Red]("¥"#,##0);-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Stream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Individual accounts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'Revenue'!$B$4:$B$8</c:f>
              <c:numCache>
                <c:formatCode>¥#,##0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Price / month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'Revenue'!$C$4:$C$8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Individual revenue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'Revenue'!$D$4:$D$8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SME accounts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'Revenue'!$E$4:$E$8</c:f>
              <c:numCache>
                <c:formatCode>¥#,##0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SME price / month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'Revenue'!$F$4:$F$8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5"/>
          <c:order val="5"/>
          <c:tx>
            <c:v>SME revenue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'Revenue'!$G$4:$G$8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6"/>
          <c:order val="6"/>
          <c:tx>
            <c:v>Enterprise contracts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'Revenue'!$H$4:$H$8</c:f>
              <c:numCache>
                <c:formatCode>¥#,##0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Enterprise price / year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'Revenue'!$I$4:$I$8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8"/>
          <c:order val="8"/>
          <c:tx>
            <c:v>Enterprise revenue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'Revenue'!$J$4:$J$8</c:f>
              <c:numCache>
                <c:formatCode>"¥"#,##0;[Red]("¥"#,##0);-</c:formatCode>
                <c:ptCount val="0"/>
              </c:numCache>
            </c:numRef>
          </c:val>
          <c:smooth val="0"/>
        </c:ser>
        <c:ser>
          <c:idx val="9"/>
          <c:order val="9"/>
          <c:tx>
            <c:v>Total revenue</c:v>
          </c:tx>
          <c:cat>
            <c:strRef>
              <c:f>'Revenue'!$A$4:$A$8</c:f>
              <c:strCache>
                <c:ptCount val="0"/>
              </c:strCache>
            </c:strRef>
          </c:cat>
          <c:val>
            <c:numRef>
              <c:f>'Revenue'!$K$4:$K$8</c:f>
              <c:numCache>
                <c:formatCode>"¥"#,##0;[Red]("¥"#,##0);-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Free Cash Flow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'CashFlow'!$B$13</c:f>
              <c:numCache>
                <c:formatCode>"¥"#,##0;[Red]("¥"#,##0);-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'CashFlow'!$C$13</c:f>
              <c:numCache>
                <c:formatCode>"¥"#,##0;[Red]("¥"#,##0);-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'CashFlow'!$D$13</c:f>
              <c:numCache>
                <c:formatCode>"¥"#,##0;[Red]("¥"#,##0);-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'CashFlow'!$E$13</c:f>
              <c:numCache>
                <c:formatCode>"¥"#,##0;[Red]("¥"#,##0);-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'CashFlow'!$F$13</c:f>
              <c:numCache>
                <c:formatCode>"¥"#,##0;[Red]("¥"#,##0);-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cat>
            <c:strRef>
              <c:f>'CashFlow'!$A$13</c:f>
              <c:strCache>
                <c:ptCount val="0"/>
              </c:strCache>
            </c:strRef>
          </c:cat>
          <c:val>
            <c:numRef>
              <c:f>'CashFlow'!$G$13</c:f>
              <c:numCache>
                <c:formatCode>"¥"#,##0;[Red]("¥"#,##0);-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418c64db141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a1d2e3e63140c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40e1bc5fb544b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02681d737f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0661e43453c4d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abcd9633fadd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8.1299991607666" hidden="0" customWidth="1"/>
    <x:col min="6" max="6" width="18.75" hidden="0" customWidth="1"/>
    <x:col min="7" max="7" width="15" hidden="0" customWidth="1"/>
    <x:col min="8" max="8" width="14.380000114440918" hidden="0" customWidth="1"/>
  </x:cols>
  <x:sheetData>
    <x:row r="1">
      <x:c r="A1" s="32" t="str">
        <x:v>LexAI Economic Evaluation Summary</x:v>
      </x:c>
      <x:c r="B1" s="32" t="str">
        <x:v>LexAI Economic Evaluation Summary</x:v>
      </x:c>
      <x:c r="C1" s="32" t="str">
        <x:v>LexAI Economic Evaluation Summary</x:v>
      </x:c>
      <x:c r="D1" s="32" t="str">
        <x:v>LexAI Economic Evaluation Summary</x:v>
      </x:c>
      <x:c r="E1" s="32" t="str">
        <x:v>LexAI Economic Evaluation Summary</x:v>
      </x:c>
      <x:c r="F1" s="32" t="str">
        <x:v>LexAI Economic Evaluation Summary</x:v>
      </x:c>
      <x:c r="G1" s="32" t="str">
        <x:v>LexAI Economic Evaluation Summary</x:v>
      </x:c>
      <x:c r="H1" s="32" t="str">
        <x:v>LexAI Economic Evaluation Summary</x:v>
      </x:c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3" t="str">
        <x:v>Model status</x:v>
      </x:c>
      <x:c r="B3" s="24" t="str">
        <x:f>Checks!F11</x:f>
        <x:v>OK</x:v>
      </x:c>
      <x:c r="C3" s="22"/>
      <x:c r="D3" s="22"/>
      <x:c r="E3" s="22"/>
      <x:c r="F3" s="22"/>
      <x:c r="G3" s="22"/>
      <x:c r="H3" s="22"/>
    </x:row>
    <x:row r="4">
      <x:c r="A4" s="23" t="str">
        <x:v>Project</x:v>
      </x:c>
      <x:c r="B4" s="25" t="str">
        <x:v>LexAI Intelligent Legal Assistance System</x:v>
      </x:c>
      <x:c r="C4" s="22"/>
      <x:c r="D4" s="22"/>
      <x:c r="E4" s="22"/>
      <x:c r="F4" s="22"/>
      <x:c r="G4" s="22"/>
      <x:c r="H4" s="22"/>
    </x:row>
    <x:row r="5">
      <x:c r="A5" s="23" t="str">
        <x:v>Evaluation perspective</x:v>
      </x:c>
      <x:c r="B5" s="25" t="str">
        <x:v>Commercialization of course-project prototype</x:v>
      </x:c>
      <x:c r="C5" s="22"/>
      <x:c r="D5" s="22"/>
      <x:c r="E5" s="22"/>
      <x:c r="F5" s="22"/>
      <x:c r="G5" s="22"/>
      <x:c r="H5" s="22"/>
    </x:row>
    <x:row r="6">
      <x:c r="A6" s="23" t="str">
        <x:v>Initial investment</x:v>
      </x:c>
      <x:c r="B6" s="26" t="n">
        <x:f>-CashFlow!B13</x:f>
        <x:v>250000</x:v>
      </x:c>
      <x:c r="C6" s="22"/>
      <x:c r="D6" s="22"/>
      <x:c r="E6" s="22"/>
      <x:c r="F6" s="22"/>
      <x:c r="G6" s="22"/>
      <x:c r="H6" s="22"/>
    </x:row>
    <x:row r="7">
      <x:c r="A7" s="23" t="str">
        <x:v>Total 5-year revenue</x:v>
      </x:c>
      <x:c r="B7" s="26" t="n">
        <x:f>SUM(CashFlow!C4:G4)</x:f>
        <x:v>13071960</x:v>
      </x:c>
      <x:c r="C7" s="22"/>
      <x:c r="D7" s="22"/>
      <x:c r="E7" s="22"/>
      <x:c r="F7" s="22"/>
      <x:c r="G7" s="22"/>
      <x:c r="H7" s="22"/>
    </x:row>
    <x:row r="8">
      <x:c r="A8" s="23" t="str">
        <x:v>Discount rate</x:v>
      </x:c>
      <x:c r="B8" s="27" t="n">
        <x:f>Inputs!B7</x:f>
        <x:v>0.1</x:v>
      </x:c>
      <x:c r="C8" s="22"/>
      <x:c r="D8" s="22"/>
      <x:c r="E8" s="22"/>
      <x:c r="F8" s="22"/>
      <x:c r="G8" s="22"/>
      <x:c r="H8" s="22"/>
    </x:row>
    <x:row r="9">
      <x:c r="A9" s="23" t="str">
        <x:v>NPV</x:v>
      </x:c>
      <x:c r="B9" s="26" t="n">
        <x:f>NPV(B8,CashFlow!C13:G13)+CashFlow!B13</x:f>
        <x:v>1785109.8624348803</x:v>
      </x:c>
      <x:c r="C9" s="22"/>
      <x:c r="D9" s="22"/>
      <x:c r="E9" s="22"/>
      <x:c r="F9" s="22"/>
      <x:c r="G9" s="22"/>
      <x:c r="H9" s="22"/>
    </x:row>
    <x:row r="10">
      <x:c r="A10" s="23" t="str">
        <x:v>IRR</x:v>
      </x:c>
      <x:c r="B10" s="27" t="n">
        <x:f>IRR(CashFlow!B13:G13)</x:f>
        <x:v>0.7356005069371392</x:v>
      </x:c>
      <x:c r="C10" s="22"/>
      <x:c r="D10" s="22"/>
      <x:c r="E10" s="22"/>
      <x:c r="F10" s="22"/>
      <x:c r="G10" s="22"/>
      <x:c r="H10" s="22"/>
    </x:row>
    <x:row r="11">
      <x:c r="A11" s="23" t="str">
        <x:v>Dynamic payback period</x:v>
      </x:c>
      <x:c r="B11" s="28" t="n">
        <x:f>2+ABS(CashFlow!D14)/CashFlow!E13</x:f>
        <x:v>2.756210940056807</x:v>
      </x:c>
      <x:c r="C11" s="22"/>
      <x:c r="D11" s="22"/>
      <x:c r="E11" s="22"/>
      <x:c r="F11" s="22"/>
      <x:c r="G11" s="22"/>
      <x:c r="H11" s="22"/>
    </x:row>
    <x:row r="12">
      <x:c r="A12" s="23" t="str">
        <x:v>Decision</x:v>
      </x:c>
      <x:c r="B12" s="25" t="str">
        <x:f>IF(AND(B9&gt;0,B10&gt;B8),"Feasible: proceed with controlled commercialization","Not feasible under base case")</x:f>
        <x:v>Feasible: proceed with controlled commercialization</x:v>
      </x:c>
      <x:c r="C12" s="22"/>
      <x:c r="D12" s="22"/>
      <x:c r="E12" s="22"/>
      <x:c r="F12" s="22"/>
      <x:c r="G12" s="22"/>
      <x:c r="H12" s="22"/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9" t="str">
        <x:v>Year</x:v>
      </x:c>
      <x:c r="B15" s="29" t="str">
        <x:v>Revenue</x:v>
      </x:c>
      <x:c r="C15" s="29" t="str">
        <x:v>Cash Opex</x:v>
      </x:c>
      <x:c r="D15" s="29" t="str">
        <x:v>EBITDA</x:v>
      </x:c>
      <x:c r="E15" s="29" t="str">
        <x:v>Free Cash Flow</x:v>
      </x:c>
      <x:c r="F15" s="29" t="str">
        <x:v>Cumulative FCF</x:v>
      </x:c>
      <x:c r="G15" s="29" t="str">
        <x:v>Paying Users</x:v>
      </x:c>
      <x:c r="H15" s="29" t="str">
        <x:v>AI Tasks</x:v>
      </x:c>
    </x:row>
    <x:row r="16">
      <x:c r="A16" s="25" t="n">
        <x:v>2026</x:v>
      </x:c>
      <x:c r="B16" s="26" t="n">
        <x:f>Revenue!K4</x:f>
        <x:v>317400</x:v>
      </x:c>
      <x:c r="C16" s="26" t="n">
        <x:f>Costs!H4</x:f>
        <x:v>384176</x:v>
      </x:c>
      <x:c r="D16" s="26" t="n">
        <x:f>Costs!J4</x:f>
        <x:v>-66776</x:v>
      </x:c>
      <x:c r="E16" s="26" t="n">
        <x:f>CashFlow!C13</x:f>
        <x:v>-132646</x:v>
      </x:c>
      <x:c r="F16" s="26" t="n">
        <x:f>CashFlow!C14</x:f>
        <x:v>-382646</x:v>
      </x:c>
      <x:c r="G16" s="30" t="n">
        <x:f>Revenue!B4+Revenue!E4+Revenue!H4</x:f>
        <x:v>552</x:v>
      </x:c>
      <x:c r="H16" s="30" t="n">
        <x:f>Revenue!L4</x:f>
        <x:v>92400</x:v>
      </x:c>
    </x:row>
    <x:row r="17">
      <x:c r="A17" s="25" t="n">
        <x:v>2027</x:v>
      </x:c>
      <x:c r="B17" s="26" t="n">
        <x:f>Revenue!K5</x:f>
        <x:v>964080</x:v>
      </x:c>
      <x:c r="C17" s="26" t="n">
        <x:f>Costs!H5</x:f>
        <x:v>828332.8</x:v>
      </x:c>
      <x:c r="D17" s="26" t="n">
        <x:f>Costs!J5</x:f>
        <x:v>135747.19999999995</x:v>
      </x:c>
      <x:c r="E17" s="26" t="n">
        <x:f>CashFlow!D13</x:f>
        <x:v>60309.649999999965</x:v>
      </x:c>
      <x:c r="F17" s="26" t="n">
        <x:f>CashFlow!D14</x:f>
        <x:v>-322336.35000000003</x:v>
      </x:c>
      <x:c r="G17" s="30" t="n">
        <x:f>Revenue!B5+Revenue!E5+Revenue!H5</x:f>
        <x:v>1665</x:v>
      </x:c>
      <x:c r="H17" s="30" t="n">
        <x:f>Revenue!L5</x:f>
        <x:v>276000</x:v>
      </x:c>
    </x:row>
    <x:row r="18">
      <x:c r="A18" s="25" t="n">
        <x:v>2028</x:v>
      </x:c>
      <x:c r="B18" s="26" t="n">
        <x:f>Revenue!K6</x:f>
        <x:v>2197680</x:v>
      </x:c>
      <x:c r="C18" s="26" t="n">
        <x:f>Costs!H6</x:f>
        <x:v>1521548.8</x:v>
      </x:c>
      <x:c r="D18" s="26" t="n">
        <x:f>Costs!J6</x:f>
        <x:v>676131.2</x:v>
      </x:c>
      <x:c r="E18" s="26" t="n">
        <x:f>CashFlow!E13</x:f>
        <x:v>426251.8999999999</x:v>
      </x:c>
      <x:c r="F18" s="26" t="n">
        <x:f>CashFlow!E14</x:f>
        <x:v>103915.54999999987</x:v>
      </x:c>
      <x:c r="G18" s="30" t="n">
        <x:f>Revenue!B6+Revenue!E6+Revenue!H6</x:f>
        <x:v>3870</x:v>
      </x:c>
      <x:c r="H18" s="30" t="n">
        <x:f>Revenue!L6</x:f>
        <x:v>624000</x:v>
      </x:c>
    </x:row>
    <x:row r="19">
      <x:c r="A19" s="25" t="n">
        <x:v>2029</x:v>
      </x:c>
      <x:c r="B19" s="26" t="n">
        <x:f>Revenue!K7</x:f>
        <x:v>3856200</x:v>
      </x:c>
      <x:c r="C19" s="26" t="n">
        <x:f>Costs!H7</x:f>
        <x:v>2268954</x:v>
      </x:c>
      <x:c r="D19" s="26" t="n">
        <x:f>Costs!J7</x:f>
        <x:v>1587246</x:v>
      </x:c>
      <x:c r="E19" s="26" t="n">
        <x:f>CashFlow!F13</x:f>
        <x:v>1047508.5</x:v>
      </x:c>
      <x:c r="F19" s="26" t="n">
        <x:f>CashFlow!F14</x:f>
        <x:v>1151424.0499999998</x:v>
      </x:c>
      <x:c r="G19" s="30" t="n">
        <x:f>Revenue!B7+Revenue!E7+Revenue!H7</x:f>
        <x:v>6668</x:v>
      </x:c>
      <x:c r="H19" s="30" t="n">
        <x:f>Revenue!L7</x:f>
        <x:v>1095600</x:v>
      </x:c>
    </x:row>
    <x:row r="20">
      <x:c r="A20" s="25" t="n">
        <x:v>2030</x:v>
      </x:c>
      <x:c r="B20" s="26" t="n">
        <x:f>Revenue!K8</x:f>
        <x:v>5736600</x:v>
      </x:c>
      <x:c r="C20" s="26" t="n">
        <x:f>Costs!H8</x:f>
        <x:v>3206606</x:v>
      </x:c>
      <x:c r="D20" s="26" t="n">
        <x:f>Costs!J8</x:f>
        <x:v>2529994</x:v>
      </x:c>
      <x:c r="E20" s="26" t="n">
        <x:f>CashFlow!G13</x:f>
        <x:v>1723475.5</x:v>
      </x:c>
      <x:c r="F20" s="26" t="n">
        <x:f>CashFlow!G14</x:f>
        <x:v>2874899.55</x:v>
      </x:c>
      <x:c r="G20" s="30" t="n">
        <x:f>Revenue!B8+Revenue!E8+Revenue!H8</x:f>
        <x:v>9978</x:v>
      </x:c>
      <x:c r="H20" s="30" t="n">
        <x:f>Revenue!L8</x:f>
        <x:v>1635600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302681d737f4fc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7.5" hidden="0" customWidth="1"/>
    <x:col min="3" max="3" width="13.75" hidden="0" customWidth="1"/>
    <x:col min="4" max="4" width="11.25" hidden="0" customWidth="1"/>
    <x:col min="5" max="5" width="13.75" hidden="0" customWidth="1"/>
    <x:col min="6" max="6" width="52.5" hidden="0" customWidth="1"/>
  </x:cols>
  <x:sheetData>
    <x:row r="1">
      <x:c r="A1" s="32" t="str">
        <x:v>LexAI Economic Evaluation - Inputs and Assumptions</x:v>
      </x:c>
      <x:c r="B1" s="32" t="str">
        <x:v>LexAI Economic Evaluation - Inputs and Assumptions</x:v>
      </x:c>
      <x:c r="C1" s="32" t="str">
        <x:v>LexAI Economic Evaluation - Inputs and Assumptions</x:v>
      </x:c>
      <x:c r="D1" s="32" t="str">
        <x:v>LexAI Economic Evaluation - Inputs and Assumptions</x:v>
      </x:c>
      <x:c r="E1" s="32" t="str">
        <x:v>LexAI Economic Evaluation - Inputs and Assumptions</x:v>
      </x:c>
      <x:c r="F1" s="32" t="str">
        <x:v>LexAI Economic Evaluation - Inputs and Assumptions</x:v>
      </x:c>
      <x:c r="G1" s="22"/>
    </x:row>
    <x:row r="2">
      <x:c r="A2" s="22"/>
      <x:c r="B2" s="22"/>
      <x:c r="C2" s="22"/>
      <x:c r="D2" s="22"/>
      <x:c r="E2" s="22"/>
      <x:c r="F2" s="22"/>
      <x:c r="G2" s="22"/>
    </x:row>
    <x:row r="3">
      <x:c r="A3" s="29" t="str">
        <x:v>Item</x:v>
      </x:c>
      <x:c r="B3" s="29" t="str">
        <x:v>Value</x:v>
      </x:c>
      <x:c r="C3" s="29" t="str">
        <x:v>Unit</x:v>
      </x:c>
      <x:c r="D3" s="29" t="str">
        <x:v>Source ID</x:v>
      </x:c>
      <x:c r="E3" s="29" t="str">
        <x:v>Type</x:v>
      </x:c>
      <x:c r="F3" s="29" t="str">
        <x:v>Notes</x:v>
      </x:c>
      <x:c r="G3" s="22"/>
    </x:row>
    <x:row r="4">
      <x:c r="A4" s="25" t="str">
        <x:v>Valuation date</x:v>
      </x:c>
      <x:c r="B4" s="25" t="str">
        <x:v>2026-06-14</x:v>
      </x:c>
      <x:c r="C4" s="25" t="str">
        <x:v>date</x:v>
      </x:c>
      <x:c r="D4" s="25" t="str">
        <x:v>S0</x:v>
      </x:c>
      <x:c r="E4" s="25" t="str">
        <x:v>Model</x:v>
      </x:c>
      <x:c r="F4" s="25" t="str">
        <x:v>Based on experiment preparation date.</x:v>
      </x:c>
      <x:c r="G4" s="22"/>
    </x:row>
    <x:row r="5">
      <x:c r="A5" s="25" t="str">
        <x:v>Currency</x:v>
      </x:c>
      <x:c r="B5" s="25" t="str">
        <x:v>CNY</x:v>
      </x:c>
      <x:c r="C5" s="25" t="str"/>
      <x:c r="D5" s="25" t="str">
        <x:v>S0</x:v>
      </x:c>
      <x:c r="E5" s="25" t="str">
        <x:v>Model</x:v>
      </x:c>
      <x:c r="F5" s="25" t="str">
        <x:v>All amounts are RMB, excluding VAT unless noted.</x:v>
      </x:c>
      <x:c r="G5" s="22"/>
    </x:row>
    <x:row r="6">
      <x:c r="A6" s="25" t="str">
        <x:v>Forecast period</x:v>
      </x:c>
      <x:c r="B6" s="25" t="str">
        <x:v>2026-2030</x:v>
      </x:c>
      <x:c r="C6" s="25" t="str">
        <x:v>years</x:v>
      </x:c>
      <x:c r="D6" s="25" t="str">
        <x:v>S0</x:v>
      </x:c>
      <x:c r="E6" s="25" t="str">
        <x:v>Model</x:v>
      </x:c>
      <x:c r="F6" s="25" t="str">
        <x:v>Five-year post-launch forecast.</x:v>
      </x:c>
      <x:c r="G6" s="22"/>
    </x:row>
    <x:row r="7">
      <x:c r="A7" s="25" t="str">
        <x:v>Discount rate</x:v>
      </x:c>
      <x:c r="B7" s="27" t="n">
        <x:v>0.1</x:v>
      </x:c>
      <x:c r="C7" s="25" t="str">
        <x:v>%</x:v>
      </x:c>
      <x:c r="D7" s="25" t="str">
        <x:v>A1</x:v>
      </x:c>
      <x:c r="E7" s="25" t="str">
        <x:v>Input</x:v>
      </x:c>
      <x:c r="F7" s="25" t="str">
        <x:v>Base case cost of capital for a small software project.</x:v>
      </x:c>
      <x:c r="G7" s="22"/>
    </x:row>
    <x:row r="8">
      <x:c r="A8" s="25" t="str">
        <x:v>Corporate income tax</x:v>
      </x:c>
      <x:c r="B8" s="27" t="n">
        <x:v>0.25</x:v>
      </x:c>
      <x:c r="C8" s="25" t="str">
        <x:v>%</x:v>
      </x:c>
      <x:c r="D8" s="25" t="str">
        <x:v>S6</x:v>
      </x:c>
      <x:c r="E8" s="25" t="str">
        <x:v>Statutory</x:v>
      </x:c>
      <x:c r="F8" s="25" t="str">
        <x:v>Conservative statutory rate.</x:v>
      </x:c>
      <x:c r="G8" s="22"/>
    </x:row>
    <x:row r="9">
      <x:c r="A9" s="25" t="str">
        <x:v>VAT rate for software/SaaS service</x:v>
      </x:c>
      <x:c r="B9" s="27" t="n">
        <x:v>0.06</x:v>
      </x:c>
      <x:c r="C9" s="25" t="str">
        <x:v>%</x:v>
      </x:c>
      <x:c r="D9" s="25" t="str">
        <x:v>S5</x:v>
      </x:c>
      <x:c r="E9" s="25" t="str">
        <x:v>Statutory</x:v>
      </x:c>
      <x:c r="F9" s="25" t="str">
        <x:v>Used for tax table reference, model revenue is net of VAT.</x:v>
      </x:c>
      <x:c r="G9" s="22"/>
    </x:row>
    <x:row r="10">
      <x:c r="A10" s="25" t="str">
        <x:v>Initial investment</x:v>
      </x:c>
      <x:c r="B10" s="26" t="n">
        <x:v>250000</x:v>
      </x:c>
      <x:c r="C10" s="25" t="str">
        <x:v>CNY</x:v>
      </x:c>
      <x:c r="D10" s="25" t="str">
        <x:v>A2</x:v>
      </x:c>
      <x:c r="E10" s="25" t="str">
        <x:v>Input</x:v>
      </x:c>
      <x:c r="F10" s="25" t="str">
        <x:v>Prototype economic value + commercialization hardening + initial working capital.</x:v>
      </x:c>
      <x:c r="G10" s="22"/>
    </x:row>
    <x:row r="11">
      <x:c r="A11" s="25" t="str">
        <x:v>Prototype WBS effort</x:v>
      </x:c>
      <x:c r="B11" s="26" t="n">
        <x:v>508</x:v>
      </x:c>
      <x:c r="C11" s="25" t="str">
        <x:v>hours</x:v>
      </x:c>
      <x:c r="D11" s="25" t="str">
        <x:v>P1</x:v>
      </x:c>
      <x:c r="E11" s="25" t="str">
        <x:v>Project</x:v>
      </x:c>
      <x:c r="F11" s="25" t="str">
        <x:v>From LexAI ProjectCharter.md.</x:v>
      </x:c>
      <x:c r="G11" s="22"/>
    </x:row>
    <x:row r="12">
      <x:c r="A12" s="25" t="str">
        <x:v>Prototype direct budget</x:v>
      </x:c>
      <x:c r="B12" s="26" t="n">
        <x:v>3500</x:v>
      </x:c>
      <x:c r="C12" s="25" t="str">
        <x:v>CNY</x:v>
      </x:c>
      <x:c r="D12" s="25" t="str">
        <x:v>P1</x:v>
      </x:c>
      <x:c r="E12" s="25" t="str">
        <x:v>Project</x:v>
      </x:c>
      <x:c r="F12" s="25" t="str">
        <x:v>From LexAI ProjectCharter.md.</x:v>
      </x:c>
      <x:c r="G12" s="22"/>
    </x:row>
    <x:row r="13">
      <x:c r="A13" s="25" t="str">
        <x:v>Opportunity cost per dev hour</x:v>
      </x:c>
      <x:c r="B13" s="26" t="n">
        <x:v>80</x:v>
      </x:c>
      <x:c r="C13" s="25" t="str">
        <x:v>CNY/hour</x:v>
      </x:c>
      <x:c r="D13" s="25" t="str">
        <x:v>A3</x:v>
      </x:c>
      <x:c r="E13" s="25" t="str">
        <x:v>Input</x:v>
      </x:c>
      <x:c r="F13" s="25" t="str">
        <x:v>Student/developer opportunity-cost assumption.</x:v>
      </x:c>
      <x:c r="G13" s="22"/>
    </x:row>
    <x:row r="14">
      <x:c r="A14" s="25" t="str">
        <x:v>AI cost per task</x:v>
      </x:c>
      <x:c r="B14" s="30" t="n">
        <x:v>0.08</x:v>
      </x:c>
      <x:c r="C14" s="25" t="str">
        <x:v>CNY/task</x:v>
      </x:c>
      <x:c r="D14" s="25" t="str">
        <x:v>S4/A4</x:v>
      </x:c>
      <x:c r="E14" s="25" t="str">
        <x:v>Input</x:v>
      </x:c>
      <x:c r="F14" s="25" t="str">
        <x:v>Derived from Hunyuan token price and 8k-token average task plus legal-data call buffer.</x:v>
      </x:c>
      <x:c r="G14" s="22"/>
    </x:row>
    <x:row r="15">
      <x:c r="A15" s="25" t="str">
        <x:v>Payment channel fee</x:v>
      </x:c>
      <x:c r="B15" s="30" t="n">
        <x:v>0.01</x:v>
      </x:c>
      <x:c r="C15" s="25" t="str">
        <x:v>% of revenue</x:v>
      </x:c>
      <x:c r="D15" s="25" t="str">
        <x:v>A5</x:v>
      </x:c>
      <x:c r="E15" s="25" t="str">
        <x:v>Input</x:v>
      </x:c>
      <x:c r="F15" s="25" t="str">
        <x:v>Conservative platform/payment processing assumption.</x:v>
      </x:c>
      <x:c r="G15" s="22"/>
    </x:row>
    <x:row r="16">
      <x:c r="A16" s="25" t="str">
        <x:v>Working capital ratio</x:v>
      </x:c>
      <x:c r="B16" s="30" t="n">
        <x:v>0.05</x:v>
      </x:c>
      <x:c r="C16" s="25" t="str">
        <x:v>% of revenue</x:v>
      </x:c>
      <x:c r="D16" s="25" t="str">
        <x:v>A6</x:v>
      </x:c>
      <x:c r="E16" s="25" t="str">
        <x:v>Input</x:v>
      </x:c>
      <x:c r="F16" s="25" t="str">
        <x:v>Receivables, deposits and prepaid cloud resources.</x:v>
      </x:c>
      <x:c r="G16" s="22"/>
    </x:row>
    <x:row r="17">
      <x:c r="A17" s="25" t="str">
        <x:v>Useful life of initial intangible asset</x:v>
      </x:c>
      <x:c r="B17" s="30" t="n">
        <x:v>3</x:v>
      </x:c>
      <x:c r="C17" s="25" t="str">
        <x:v>years</x:v>
      </x:c>
      <x:c r="D17" s="25" t="str">
        <x:v>A7</x:v>
      </x:c>
      <x:c r="E17" s="25" t="str">
        <x:v>Input</x:v>
      </x:c>
      <x:c r="F17" s="25" t="str">
        <x:v>Straight-line amortization for software platform asset.</x:v>
      </x:c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9" t="str">
        <x:v>Year</x:v>
      </x:c>
      <x:c r="B20" s="29" t="str">
        <x:v>Individual paid accounts</x:v>
      </x:c>
      <x:c r="C20" s="29" t="str">
        <x:v>Individual price / month</x:v>
      </x:c>
      <x:c r="D20" s="29" t="str">
        <x:v>SME accounts</x:v>
      </x:c>
      <x:c r="E20" s="29" t="str">
        <x:v>SME price / month</x:v>
      </x:c>
      <x:c r="F20" s="29" t="str">
        <x:v>Enterprise contracts</x:v>
      </x:c>
      <x:c r="G20" s="29" t="str">
        <x:v>Enterprise price / year</x:v>
      </x:c>
    </x:row>
    <x:row r="21">
      <x:c r="A21" s="25" t="n">
        <x:v>2026</x:v>
      </x:c>
      <x:c r="B21" s="25" t="n">
        <x:v>500</x:v>
      </x:c>
      <x:c r="C21" s="26" t="n">
        <x:v>29</x:v>
      </x:c>
      <x:c r="D21" s="25" t="n">
        <x:v>50</x:v>
      </x:c>
      <x:c r="E21" s="26" t="n">
        <x:v>199</x:v>
      </x:c>
      <x:c r="F21" s="25" t="n">
        <x:v>2</x:v>
      </x:c>
      <x:c r="G21" s="26" t="n">
        <x:v>12000</x:v>
      </x:c>
    </x:row>
    <x:row r="22">
      <x:c r="A22" s="25" t="n">
        <x:v>2027</x:v>
      </x:c>
      <x:c r="B22" s="25" t="n">
        <x:v>1500</x:v>
      </x:c>
      <x:c r="C22" s="26" t="n">
        <x:v>29</x:v>
      </x:c>
      <x:c r="D22" s="25" t="n">
        <x:v>160</x:v>
      </x:c>
      <x:c r="E22" s="26" t="n">
        <x:v>199</x:v>
      </x:c>
      <x:c r="F22" s="25" t="n">
        <x:v>5</x:v>
      </x:c>
      <x:c r="G22" s="26" t="n">
        <x:v>12000</x:v>
      </x:c>
    </x:row>
    <x:row r="23">
      <x:c r="A23" s="25" t="n">
        <x:v>2028</x:v>
      </x:c>
      <x:c r="B23" s="25" t="n">
        <x:v>3500</x:v>
      </x:c>
      <x:c r="C23" s="26" t="n">
        <x:v>29</x:v>
      </x:c>
      <x:c r="D23" s="25" t="n">
        <x:v>360</x:v>
      </x:c>
      <x:c r="E23" s="26" t="n">
        <x:v>199</x:v>
      </x:c>
      <x:c r="F23" s="25" t="n">
        <x:v>10</x:v>
      </x:c>
      <x:c r="G23" s="26" t="n">
        <x:v>12000</x:v>
      </x:c>
    </x:row>
    <x:row r="24">
      <x:c r="A24" s="25" t="n">
        <x:v>2029</x:v>
      </x:c>
      <x:c r="B24" s="25" t="n">
        <x:v>6000</x:v>
      </x:c>
      <x:c r="C24" s="26" t="n">
        <x:v>29</x:v>
      </x:c>
      <x:c r="D24" s="25" t="n">
        <x:v>650</x:v>
      </x:c>
      <x:c r="E24" s="26" t="n">
        <x:v>199</x:v>
      </x:c>
      <x:c r="F24" s="25" t="n">
        <x:v>18</x:v>
      </x:c>
      <x:c r="G24" s="26" t="n">
        <x:v>12000</x:v>
      </x:c>
    </x:row>
    <x:row r="25">
      <x:c r="A25" s="25" t="n">
        <x:v>2030</x:v>
      </x:c>
      <x:c r="B25" s="25" t="n">
        <x:v>9000</x:v>
      </x:c>
      <x:c r="C25" s="26" t="n">
        <x:v>29</x:v>
      </x:c>
      <x:c r="D25" s="25" t="n">
        <x:v>950</x:v>
      </x:c>
      <x:c r="E25" s="26" t="n">
        <x:v>199</x:v>
      </x:c>
      <x:c r="F25" s="25" t="n">
        <x:v>28</x:v>
      </x:c>
      <x:c r="G25" s="26" t="n">
        <x:v>12000</x:v>
      </x:c>
    </x:row>
    <x:row r="26">
      <x:c r="A26" s="22"/>
      <x:c r="B26" s="22"/>
      <x:c r="C26" s="22"/>
      <x:c r="D26" s="22"/>
      <x:c r="E26" s="22"/>
      <x:c r="F26" s="22"/>
      <x:c r="G26" s="22"/>
    </x:row>
    <x:row r="27">
      <x:c r="A27" s="22"/>
      <x:c r="B27" s="22"/>
      <x:c r="C27" s="22"/>
      <x:c r="D27" s="22"/>
      <x:c r="E27" s="22"/>
      <x:c r="F27" s="22"/>
      <x:c r="G27" s="22"/>
    </x:row>
    <x:row r="28">
      <x:c r="A28" s="29" t="str">
        <x:v>Year</x:v>
      </x:c>
      <x:c r="B28" s="29" t="str">
        <x:v>Cloud &amp; infra</x:v>
      </x:c>
      <x:c r="C28" s="29" t="str">
        <x:v>Payroll / operation</x:v>
      </x:c>
      <x:c r="D28" s="29" t="str">
        <x:v>Compliance &amp; legal review</x:v>
      </x:c>
      <x:c r="E28" s="29" t="str">
        <x:v>Marketing % revenue</x:v>
      </x:c>
      <x:c r="F28" s="29" t="str">
        <x:v>Capex</x:v>
      </x:c>
      <x:c r="G28" s="29" t="str">
        <x:v>Depreciation / amortization</x:v>
      </x:c>
    </x:row>
    <x:row r="29">
      <x:c r="A29" s="25" t="n">
        <x:v>2026</x:v>
      </x:c>
      <x:c r="B29" s="26" t="n">
        <x:v>36000</x:v>
      </x:c>
      <x:c r="C29" s="26" t="n">
        <x:v>260000</x:v>
      </x:c>
      <x:c r="D29" s="26" t="n">
        <x:v>30000</x:v>
      </x:c>
      <x:c r="E29" s="27" t="n">
        <x:v>0.15</x:v>
      </x:c>
      <x:c r="F29" s="26" t="n">
        <x:v>50000</x:v>
      </x:c>
      <x:c r="G29" s="26" t="n">
        <x:v>83333</x:v>
      </x:c>
    </x:row>
    <x:row r="30">
      <x:c r="A30" s="25" t="n">
        <x:v>2027</x:v>
      </x:c>
      <x:c r="B30" s="26" t="n">
        <x:v>72000</x:v>
      </x:c>
      <x:c r="C30" s="26" t="n">
        <x:v>520000</x:v>
      </x:c>
      <x:c r="D30" s="26" t="n">
        <x:v>60000</x:v>
      </x:c>
      <x:c r="E30" s="27" t="n">
        <x:v>0.15</x:v>
      </x:c>
      <x:c r="F30" s="26" t="n">
        <x:v>30000</x:v>
      </x:c>
      <x:c r="G30" s="26" t="n">
        <x:v>83333</x:v>
      </x:c>
    </x:row>
    <x:row r="31">
      <x:c r="A31" s="25" t="n">
        <x:v>2028</x:v>
      </x:c>
      <x:c r="B31" s="26" t="n">
        <x:v>120000</x:v>
      </x:c>
      <x:c r="C31" s="26" t="n">
        <x:v>900000</x:v>
      </x:c>
      <x:c r="D31" s="26" t="n">
        <x:v>100000</x:v>
      </x:c>
      <x:c r="E31" s="27" t="n">
        <x:v>0.15</x:v>
      </x:c>
      <x:c r="F31" s="26" t="n">
        <x:v>40000</x:v>
      </x:c>
      <x:c r="G31" s="26" t="n">
        <x:v>83334</x:v>
      </x:c>
    </x:row>
    <x:row r="32">
      <x:c r="A32" s="25" t="n">
        <x:v>2029</x:v>
      </x:c>
      <x:c r="B32" s="26" t="n">
        <x:v>180000</x:v>
      </x:c>
      <x:c r="C32" s="26" t="n">
        <x:v>1350000</x:v>
      </x:c>
      <x:c r="D32" s="26" t="n">
        <x:v>150000</x:v>
      </x:c>
      <x:c r="E32" s="27" t="n">
        <x:v>0.12</x:v>
      </x:c>
      <x:c r="F32" s="26" t="n">
        <x:v>60000</x:v>
      </x:c>
      <x:c r="G32" s="26" t="n">
        <x:v>0</x:v>
      </x:c>
    </x:row>
    <x:row r="33">
      <x:c r="A33" s="25" t="n">
        <x:v>2030</x:v>
      </x:c>
      <x:c r="B33" s="26" t="n">
        <x:v>260000</x:v>
      </x:c>
      <x:c r="C33" s="26" t="n">
        <x:v>1850000</x:v>
      </x:c>
      <x:c r="D33" s="26" t="n">
        <x:v>220000</x:v>
      </x:c>
      <x:c r="E33" s="27" t="n">
        <x:v>0.12</x:v>
      </x:c>
      <x:c r="F33" s="26" t="n">
        <x:v>80000</x:v>
      </x:c>
      <x:c r="G33" s="26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25" hidden="0" customWidth="1"/>
    <x:col min="3" max="3" width="15" hidden="0" customWidth="1"/>
    <x:col min="4" max="4" width="17.5" hidden="0" customWidth="1"/>
    <x:col min="5" max="5" width="12.5" hidden="0" customWidth="1"/>
    <x:col min="6" max="6" width="15" hidden="0" customWidth="1"/>
    <x:col min="7" max="7" width="17.5" hidden="0" customWidth="1"/>
    <x:col min="8" max="8" width="17.5" hidden="0" customWidth="1"/>
    <x:col min="9" max="9" width="17.5" hidden="0" customWidth="1"/>
    <x:col min="10" max="10" width="18.75" hidden="0" customWidth="1"/>
    <x:col min="11" max="11" width="17.5" hidden="0" customWidth="1"/>
    <x:col min="12" max="12" width="15" hidden="0" customWidth="1"/>
  </x:cols>
  <x:sheetData>
    <x:row r="1">
      <x:c r="A1" s="32" t="str">
        <x:v>Revenue Model</x:v>
      </x:c>
      <x:c r="B1" s="32" t="str">
        <x:v>Revenue Model</x:v>
      </x:c>
      <x:c r="C1" s="32" t="str">
        <x:v>Revenue Model</x:v>
      </x:c>
      <x:c r="D1" s="32" t="str">
        <x:v>Revenue Model</x:v>
      </x:c>
      <x:c r="E1" s="32" t="str">
        <x:v>Revenue Model</x:v>
      </x:c>
      <x:c r="F1" s="32" t="str">
        <x:v>Revenue Model</x:v>
      </x:c>
      <x:c r="G1" s="32" t="str">
        <x:v>Revenue Model</x:v>
      </x:c>
      <x:c r="H1" s="32" t="str">
        <x:v>Revenue Model</x:v>
      </x:c>
      <x:c r="I1" s="32" t="str">
        <x:v>Revenue Model</x:v>
      </x:c>
      <x:c r="J1" s="32" t="str">
        <x:v>Revenue Model</x:v>
      </x:c>
      <x:c r="K1" s="32" t="str">
        <x:v>Revenue Model</x:v>
      </x:c>
      <x:c r="L1" s="32" t="str">
        <x:v>Revenue Model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29" t="str">
        <x:v>Year</x:v>
      </x:c>
      <x:c r="B3" s="29" t="str">
        <x:v>Individual accounts</x:v>
      </x:c>
      <x:c r="C3" s="29" t="str">
        <x:v>Price / month</x:v>
      </x:c>
      <x:c r="D3" s="29" t="str">
        <x:v>Individual revenue</x:v>
      </x:c>
      <x:c r="E3" s="29" t="str">
        <x:v>SME accounts</x:v>
      </x:c>
      <x:c r="F3" s="29" t="str">
        <x:v>SME price / month</x:v>
      </x:c>
      <x:c r="G3" s="29" t="str">
        <x:v>SME revenue</x:v>
      </x:c>
      <x:c r="H3" s="29" t="str">
        <x:v>Enterprise contracts</x:v>
      </x:c>
      <x:c r="I3" s="29" t="str">
        <x:v>Enterprise price / year</x:v>
      </x:c>
      <x:c r="J3" s="29" t="str">
        <x:v>Enterprise revenue</x:v>
      </x:c>
      <x:c r="K3" s="29" t="str">
        <x:v>Total revenue</x:v>
      </x:c>
      <x:c r="L3" s="29" t="str">
        <x:v>AI tasks</x:v>
      </x:c>
    </x:row>
    <x:row r="4">
      <x:c r="A4" s="25" t="n">
        <x:v>2026</x:v>
      </x:c>
      <x:c r="B4" s="25" t="n">
        <x:f>Inputs!B21</x:f>
        <x:v>500</x:v>
      </x:c>
      <x:c r="C4" s="26" t="n">
        <x:f>Inputs!C21</x:f>
        <x:v>29</x:v>
      </x:c>
      <x:c r="D4" s="26" t="n">
        <x:f>B4*C4*12</x:f>
        <x:v>174000</x:v>
      </x:c>
      <x:c r="E4" s="25" t="n">
        <x:f>Inputs!D21</x:f>
        <x:v>50</x:v>
      </x:c>
      <x:c r="F4" s="26" t="n">
        <x:f>Inputs!E21</x:f>
        <x:v>199</x:v>
      </x:c>
      <x:c r="G4" s="26" t="n">
        <x:f>E4*F4*12</x:f>
        <x:v>119400</x:v>
      </x:c>
      <x:c r="H4" s="25" t="n">
        <x:f>Inputs!F21</x:f>
        <x:v>2</x:v>
      </x:c>
      <x:c r="I4" s="26" t="n">
        <x:f>Inputs!G21</x:f>
        <x:v>12000</x:v>
      </x:c>
      <x:c r="J4" s="26" t="n">
        <x:f>H4*I4</x:f>
        <x:v>24000</x:v>
      </x:c>
      <x:c r="K4" s="26" t="n">
        <x:f>D4+G4+J4</x:f>
        <x:v>317400</x:v>
      </x:c>
      <x:c r="L4" s="30" t="n">
        <x:f>(B4*8+E4*50+H4*600)*12</x:f>
        <x:v>92400</x:v>
      </x:c>
    </x:row>
    <x:row r="5">
      <x:c r="A5" s="25" t="n">
        <x:v>2027</x:v>
      </x:c>
      <x:c r="B5" s="25" t="n">
        <x:f>Inputs!B22</x:f>
        <x:v>1500</x:v>
      </x:c>
      <x:c r="C5" s="26" t="n">
        <x:f>Inputs!C22</x:f>
        <x:v>29</x:v>
      </x:c>
      <x:c r="D5" s="26" t="n">
        <x:f>B5*C5*12</x:f>
        <x:v>522000</x:v>
      </x:c>
      <x:c r="E5" s="25" t="n">
        <x:f>Inputs!D22</x:f>
        <x:v>160</x:v>
      </x:c>
      <x:c r="F5" s="26" t="n">
        <x:f>Inputs!E22</x:f>
        <x:v>199</x:v>
      </x:c>
      <x:c r="G5" s="26" t="n">
        <x:f>E5*F5*12</x:f>
        <x:v>382080</x:v>
      </x:c>
      <x:c r="H5" s="25" t="n">
        <x:f>Inputs!F22</x:f>
        <x:v>5</x:v>
      </x:c>
      <x:c r="I5" s="26" t="n">
        <x:f>Inputs!G22</x:f>
        <x:v>12000</x:v>
      </x:c>
      <x:c r="J5" s="26" t="n">
        <x:f>H5*I5</x:f>
        <x:v>60000</x:v>
      </x:c>
      <x:c r="K5" s="26" t="n">
        <x:f>D5+G5+J5</x:f>
        <x:v>964080</x:v>
      </x:c>
      <x:c r="L5" s="30" t="n">
        <x:f>(B5*8+E5*50+H5*600)*12</x:f>
        <x:v>276000</x:v>
      </x:c>
    </x:row>
    <x:row r="6">
      <x:c r="A6" s="25" t="n">
        <x:v>2028</x:v>
      </x:c>
      <x:c r="B6" s="25" t="n">
        <x:f>Inputs!B23</x:f>
        <x:v>3500</x:v>
      </x:c>
      <x:c r="C6" s="26" t="n">
        <x:f>Inputs!C23</x:f>
        <x:v>29</x:v>
      </x:c>
      <x:c r="D6" s="26" t="n">
        <x:f>B6*C6*12</x:f>
        <x:v>1218000</x:v>
      </x:c>
      <x:c r="E6" s="25" t="n">
        <x:f>Inputs!D23</x:f>
        <x:v>360</x:v>
      </x:c>
      <x:c r="F6" s="26" t="n">
        <x:f>Inputs!E23</x:f>
        <x:v>199</x:v>
      </x:c>
      <x:c r="G6" s="26" t="n">
        <x:f>E6*F6*12</x:f>
        <x:v>859680</x:v>
      </x:c>
      <x:c r="H6" s="25" t="n">
        <x:f>Inputs!F23</x:f>
        <x:v>10</x:v>
      </x:c>
      <x:c r="I6" s="26" t="n">
        <x:f>Inputs!G23</x:f>
        <x:v>12000</x:v>
      </x:c>
      <x:c r="J6" s="26" t="n">
        <x:f>H6*I6</x:f>
        <x:v>120000</x:v>
      </x:c>
      <x:c r="K6" s="26" t="n">
        <x:f>D6+G6+J6</x:f>
        <x:v>2197680</x:v>
      </x:c>
      <x:c r="L6" s="30" t="n">
        <x:f>(B6*8+E6*50+H6*600)*12</x:f>
        <x:v>624000</x:v>
      </x:c>
    </x:row>
    <x:row r="7">
      <x:c r="A7" s="25" t="n">
        <x:v>2029</x:v>
      </x:c>
      <x:c r="B7" s="25" t="n">
        <x:f>Inputs!B24</x:f>
        <x:v>6000</x:v>
      </x:c>
      <x:c r="C7" s="26" t="n">
        <x:f>Inputs!C24</x:f>
        <x:v>29</x:v>
      </x:c>
      <x:c r="D7" s="26" t="n">
        <x:f>B7*C7*12</x:f>
        <x:v>2088000</x:v>
      </x:c>
      <x:c r="E7" s="25" t="n">
        <x:f>Inputs!D24</x:f>
        <x:v>650</x:v>
      </x:c>
      <x:c r="F7" s="26" t="n">
        <x:f>Inputs!E24</x:f>
        <x:v>199</x:v>
      </x:c>
      <x:c r="G7" s="26" t="n">
        <x:f>E7*F7*12</x:f>
        <x:v>1552200</x:v>
      </x:c>
      <x:c r="H7" s="25" t="n">
        <x:f>Inputs!F24</x:f>
        <x:v>18</x:v>
      </x:c>
      <x:c r="I7" s="26" t="n">
        <x:f>Inputs!G24</x:f>
        <x:v>12000</x:v>
      </x:c>
      <x:c r="J7" s="26" t="n">
        <x:f>H7*I7</x:f>
        <x:v>216000</x:v>
      </x:c>
      <x:c r="K7" s="26" t="n">
        <x:f>D7+G7+J7</x:f>
        <x:v>3856200</x:v>
      </x:c>
      <x:c r="L7" s="30" t="n">
        <x:f>(B7*8+E7*50+H7*600)*12</x:f>
        <x:v>1095600</x:v>
      </x:c>
    </x:row>
    <x:row r="8">
      <x:c r="A8" s="25" t="n">
        <x:v>2030</x:v>
      </x:c>
      <x:c r="B8" s="25" t="n">
        <x:f>Inputs!B25</x:f>
        <x:v>9000</x:v>
      </x:c>
      <x:c r="C8" s="26" t="n">
        <x:f>Inputs!C25</x:f>
        <x:v>29</x:v>
      </x:c>
      <x:c r="D8" s="26" t="n">
        <x:f>B8*C8*12</x:f>
        <x:v>3132000</x:v>
      </x:c>
      <x:c r="E8" s="25" t="n">
        <x:f>Inputs!D25</x:f>
        <x:v>950</x:v>
      </x:c>
      <x:c r="F8" s="26" t="n">
        <x:f>Inputs!E25</x:f>
        <x:v>199</x:v>
      </x:c>
      <x:c r="G8" s="26" t="n">
        <x:f>E8*F8*12</x:f>
        <x:v>2268600</x:v>
      </x:c>
      <x:c r="H8" s="25" t="n">
        <x:f>Inputs!F25</x:f>
        <x:v>28</x:v>
      </x:c>
      <x:c r="I8" s="26" t="n">
        <x:f>Inputs!G25</x:f>
        <x:v>12000</x:v>
      </x:c>
      <x:c r="J8" s="26" t="n">
        <x:f>H8*I8</x:f>
        <x:v>336000</x:v>
      </x:c>
      <x:c r="K8" s="26" t="n">
        <x:f>D8+G8+J8</x:f>
        <x:v>5736600</x:v>
      </x:c>
      <x:c r="L8" s="30" t="n">
        <x:f>(B8*8+E8*50+H8*600)*12</x:f>
        <x:v>1635600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50661e43453c4de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.6299991607666" hidden="0" customWidth="1"/>
    <x:col min="3" max="3" width="15" hidden="0" customWidth="1"/>
    <x:col min="4" max="4" width="16.25" hidden="0" customWidth="1"/>
    <x:col min="5" max="5" width="18.75" hidden="0" customWidth="1"/>
    <x:col min="6" max="6" width="15" hidden="0" customWidth="1"/>
    <x:col min="7" max="7" width="16.25" hidden="0" customWidth="1"/>
    <x:col min="8" max="8" width="23.1299991607666" hidden="0" customWidth="1"/>
    <x:col min="9" max="9" width="23.1299991607666" hidden="0" customWidth="1"/>
    <x:col min="10" max="10" width="15" hidden="0" customWidth="1"/>
  </x:cols>
  <x:sheetData>
    <x:row r="1">
      <x:c r="A1" s="32" t="str">
        <x:v>Operating Cost Model</x:v>
      </x:c>
      <x:c r="B1" s="32" t="str">
        <x:v>Operating Cost Model</x:v>
      </x:c>
      <x:c r="C1" s="32" t="str">
        <x:v>Operating Cost Model</x:v>
      </x:c>
      <x:c r="D1" s="32" t="str">
        <x:v>Operating Cost Model</x:v>
      </x:c>
      <x:c r="E1" s="32" t="str">
        <x:v>Operating Cost Model</x:v>
      </x:c>
      <x:c r="F1" s="32" t="str">
        <x:v>Operating Cost Model</x:v>
      </x:c>
      <x:c r="G1" s="32" t="str">
        <x:v>Operating Cost Model</x:v>
      </x:c>
      <x:c r="H1" s="32" t="str">
        <x:v>Operating Cost Model</x:v>
      </x:c>
      <x:c r="I1" s="32" t="str">
        <x:v>Operating Cost Model</x:v>
      </x:c>
      <x:c r="J1" s="32" t="str">
        <x:v>Operating Cost Model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9" t="str">
        <x:v>Year</x:v>
      </x:c>
      <x:c r="B3" s="29" t="str">
        <x:v>AI/legal data variable cost</x:v>
      </x:c>
      <x:c r="C3" s="29" t="str">
        <x:v>Payment fee</x:v>
      </x:c>
      <x:c r="D3" s="29" t="str">
        <x:v>Cloud &amp; infra</x:v>
      </x:c>
      <x:c r="E3" s="29" t="str">
        <x:v>Payroll / operation</x:v>
      </x:c>
      <x:c r="F3" s="29" t="str">
        <x:v>Marketing</x:v>
      </x:c>
      <x:c r="G3" s="29" t="str">
        <x:v>Compliance</x:v>
      </x:c>
      <x:c r="H3" s="29" t="str">
        <x:v>Total cash operating cost</x:v>
      </x:c>
      <x:c r="I3" s="29" t="str">
        <x:v>Depreciation / amortization</x:v>
      </x:c>
      <x:c r="J3" s="29" t="str">
        <x:v>EBITDA</x:v>
      </x:c>
    </x:row>
    <x:row r="4">
      <x:c r="A4" s="25" t="n">
        <x:v>2026</x:v>
      </x:c>
      <x:c r="B4" s="26" t="n">
        <x:f>Revenue!L4*Inputs!B14</x:f>
        <x:v>7392</x:v>
      </x:c>
      <x:c r="C4" s="26" t="n">
        <x:f>Revenue!K4*Inputs!B15</x:f>
        <x:v>3174</x:v>
      </x:c>
      <x:c r="D4" s="26" t="n">
        <x:f>Inputs!B29</x:f>
        <x:v>36000</x:v>
      </x:c>
      <x:c r="E4" s="26" t="n">
        <x:f>Inputs!C29</x:f>
        <x:v>260000</x:v>
      </x:c>
      <x:c r="F4" s="26" t="n">
        <x:f>Revenue!K4*Inputs!E29</x:f>
        <x:v>47610</x:v>
      </x:c>
      <x:c r="G4" s="26" t="n">
        <x:f>Inputs!D29</x:f>
        <x:v>30000</x:v>
      </x:c>
      <x:c r="H4" s="26" t="n">
        <x:f>SUM(B4:G4)</x:f>
        <x:v>384176</x:v>
      </x:c>
      <x:c r="I4" s="26" t="n">
        <x:f>Inputs!G29</x:f>
        <x:v>83333</x:v>
      </x:c>
      <x:c r="J4" s="26" t="n">
        <x:f>Revenue!K4-H4</x:f>
        <x:v>-66776</x:v>
      </x:c>
    </x:row>
    <x:row r="5">
      <x:c r="A5" s="25" t="n">
        <x:v>2027</x:v>
      </x:c>
      <x:c r="B5" s="26" t="n">
        <x:f>Revenue!L5*Inputs!B14</x:f>
        <x:v>22080</x:v>
      </x:c>
      <x:c r="C5" s="26" t="n">
        <x:f>Revenue!K5*Inputs!B15</x:f>
        <x:v>9640.800000000001</x:v>
      </x:c>
      <x:c r="D5" s="26" t="n">
        <x:f>Inputs!B30</x:f>
        <x:v>72000</x:v>
      </x:c>
      <x:c r="E5" s="26" t="n">
        <x:f>Inputs!C30</x:f>
        <x:v>520000</x:v>
      </x:c>
      <x:c r="F5" s="26" t="n">
        <x:f>Revenue!K5*Inputs!E30</x:f>
        <x:v>144612</x:v>
      </x:c>
      <x:c r="G5" s="26" t="n">
        <x:f>Inputs!D30</x:f>
        <x:v>60000</x:v>
      </x:c>
      <x:c r="H5" s="26" t="n">
        <x:f>SUM(B5:G5)</x:f>
        <x:v>828332.8</x:v>
      </x:c>
      <x:c r="I5" s="26" t="n">
        <x:f>Inputs!G30</x:f>
        <x:v>83333</x:v>
      </x:c>
      <x:c r="J5" s="26" t="n">
        <x:f>Revenue!K5-H5</x:f>
        <x:v>135747.19999999995</x:v>
      </x:c>
    </x:row>
    <x:row r="6">
      <x:c r="A6" s="25" t="n">
        <x:v>2028</x:v>
      </x:c>
      <x:c r="B6" s="26" t="n">
        <x:f>Revenue!L6*Inputs!B14</x:f>
        <x:v>49920</x:v>
      </x:c>
      <x:c r="C6" s="26" t="n">
        <x:f>Revenue!K6*Inputs!B15</x:f>
        <x:v>21976.8</x:v>
      </x:c>
      <x:c r="D6" s="26" t="n">
        <x:f>Inputs!B31</x:f>
        <x:v>120000</x:v>
      </x:c>
      <x:c r="E6" s="26" t="n">
        <x:f>Inputs!C31</x:f>
        <x:v>900000</x:v>
      </x:c>
      <x:c r="F6" s="26" t="n">
        <x:f>Revenue!K6*Inputs!E31</x:f>
        <x:v>329652</x:v>
      </x:c>
      <x:c r="G6" s="26" t="n">
        <x:f>Inputs!D31</x:f>
        <x:v>100000</x:v>
      </x:c>
      <x:c r="H6" s="26" t="n">
        <x:f>SUM(B6:G6)</x:f>
        <x:v>1521548.8</x:v>
      </x:c>
      <x:c r="I6" s="26" t="n">
        <x:f>Inputs!G31</x:f>
        <x:v>83334</x:v>
      </x:c>
      <x:c r="J6" s="26" t="n">
        <x:f>Revenue!K6-H6</x:f>
        <x:v>676131.2</x:v>
      </x:c>
    </x:row>
    <x:row r="7">
      <x:c r="A7" s="25" t="n">
        <x:v>2029</x:v>
      </x:c>
      <x:c r="B7" s="26" t="n">
        <x:f>Revenue!L7*Inputs!B14</x:f>
        <x:v>87648</x:v>
      </x:c>
      <x:c r="C7" s="26" t="n">
        <x:f>Revenue!K7*Inputs!B15</x:f>
        <x:v>38562</x:v>
      </x:c>
      <x:c r="D7" s="26" t="n">
        <x:f>Inputs!B32</x:f>
        <x:v>180000</x:v>
      </x:c>
      <x:c r="E7" s="26" t="n">
        <x:f>Inputs!C32</x:f>
        <x:v>1350000</x:v>
      </x:c>
      <x:c r="F7" s="26" t="n">
        <x:f>Revenue!K7*Inputs!E32</x:f>
        <x:v>462744</x:v>
      </x:c>
      <x:c r="G7" s="26" t="n">
        <x:f>Inputs!D32</x:f>
        <x:v>150000</x:v>
      </x:c>
      <x:c r="H7" s="26" t="n">
        <x:f>SUM(B7:G7)</x:f>
        <x:v>2268954</x:v>
      </x:c>
      <x:c r="I7" s="26" t="n">
        <x:f>Inputs!G32</x:f>
        <x:v>0</x:v>
      </x:c>
      <x:c r="J7" s="26" t="n">
        <x:f>Revenue!K7-H7</x:f>
        <x:v>1587246</x:v>
      </x:c>
    </x:row>
    <x:row r="8">
      <x:c r="A8" s="25" t="n">
        <x:v>2030</x:v>
      </x:c>
      <x:c r="B8" s="26" t="n">
        <x:f>Revenue!L8*Inputs!B14</x:f>
        <x:v>130848</x:v>
      </x:c>
      <x:c r="C8" s="26" t="n">
        <x:f>Revenue!K8*Inputs!B15</x:f>
        <x:v>57366</x:v>
      </x:c>
      <x:c r="D8" s="26" t="n">
        <x:f>Inputs!B33</x:f>
        <x:v>260000</x:v>
      </x:c>
      <x:c r="E8" s="26" t="n">
        <x:f>Inputs!C33</x:f>
        <x:v>1850000</x:v>
      </x:c>
      <x:c r="F8" s="26" t="n">
        <x:f>Revenue!K8*Inputs!E33</x:f>
        <x:v>688392</x:v>
      </x:c>
      <x:c r="G8" s="26" t="n">
        <x:f>Inputs!D33</x:f>
        <x:v>220000</x:v>
      </x:c>
      <x:c r="H8" s="26" t="n">
        <x:f>SUM(B8:G8)</x:f>
        <x:v>3206606</x:v>
      </x:c>
      <x:c r="I8" s="26" t="n">
        <x:f>Inputs!G33</x:f>
        <x:v>0</x:v>
      </x:c>
      <x:c r="J8" s="26" t="n">
        <x:f>Revenue!K8-H8</x:f>
        <x:v>2529994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6.879999160766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32" t="str">
        <x:v>Pre-financing Project Cash Flow</x:v>
      </x:c>
      <x:c r="B1" s="32" t="str">
        <x:v>Pre-financing Project Cash Flow</x:v>
      </x:c>
      <x:c r="C1" s="32" t="str">
        <x:v>Pre-financing Project Cash Flow</x:v>
      </x:c>
      <x:c r="D1" s="32" t="str">
        <x:v>Pre-financing Project Cash Flow</x:v>
      </x:c>
      <x:c r="E1" s="32" t="str">
        <x:v>Pre-financing Project Cash Flow</x:v>
      </x:c>
      <x:c r="F1" s="32" t="str">
        <x:v>Pre-financing Project Cash Flow</x:v>
      </x:c>
      <x:c r="G1" s="32" t="str">
        <x:v>Pre-financing Project Cash Flow</x:v>
      </x:c>
    </x:row>
    <x:row r="2">
      <x:c r="A2" s="22"/>
      <x:c r="B2" s="22"/>
      <x:c r="C2" s="22"/>
      <x:c r="D2" s="22"/>
      <x:c r="E2" s="22"/>
      <x:c r="F2" s="22"/>
      <x:c r="G2" s="22"/>
    </x:row>
    <x:row r="3">
      <x:c r="A3" s="29" t="str">
        <x:v>Item</x:v>
      </x:c>
      <x:c r="B3" s="29" t="str">
        <x:v>2025 investment</x:v>
      </x:c>
      <x:c r="C3" s="29" t="str">
        <x:v>2026</x:v>
      </x:c>
      <x:c r="D3" s="29" t="str">
        <x:v>2027</x:v>
      </x:c>
      <x:c r="E3" s="29" t="str">
        <x:v>2028</x:v>
      </x:c>
      <x:c r="F3" s="29" t="str">
        <x:v>2029</x:v>
      </x:c>
      <x:c r="G3" s="29" t="str">
        <x:v>2030</x:v>
      </x:c>
    </x:row>
    <x:row r="4">
      <x:c r="A4" s="25" t="str">
        <x:v>Revenue</x:v>
      </x:c>
      <x:c r="B4" s="26" t="n">
        <x:v>0</x:v>
      </x:c>
      <x:c r="C4" s="26" t="n">
        <x:f>Revenue!K4</x:f>
        <x:v>317400</x:v>
      </x:c>
      <x:c r="D4" s="26" t="n">
        <x:f>Revenue!K5</x:f>
        <x:v>964080</x:v>
      </x:c>
      <x:c r="E4" s="26" t="n">
        <x:f>Revenue!K6</x:f>
        <x:v>2197680</x:v>
      </x:c>
      <x:c r="F4" s="26" t="n">
        <x:f>Revenue!K7</x:f>
        <x:v>3856200</x:v>
      </x:c>
      <x:c r="G4" s="26" t="n">
        <x:f>Revenue!K8</x:f>
        <x:v>5736600</x:v>
      </x:c>
    </x:row>
    <x:row r="5">
      <x:c r="A5" s="25" t="str">
        <x:v>Cash operating cost</x:v>
      </x:c>
      <x:c r="B5" s="26" t="n">
        <x:v>0</x:v>
      </x:c>
      <x:c r="C5" s="26" t="n">
        <x:f>Costs!H4</x:f>
        <x:v>384176</x:v>
      </x:c>
      <x:c r="D5" s="26" t="n">
        <x:f>Costs!H5</x:f>
        <x:v>828332.8</x:v>
      </x:c>
      <x:c r="E5" s="26" t="n">
        <x:f>Costs!H6</x:f>
        <x:v>1521548.8</x:v>
      </x:c>
      <x:c r="F5" s="26" t="n">
        <x:f>Costs!H7</x:f>
        <x:v>2268954</x:v>
      </x:c>
      <x:c r="G5" s="26" t="n">
        <x:f>Costs!H8</x:f>
        <x:v>3206606</x:v>
      </x:c>
    </x:row>
    <x:row r="6">
      <x:c r="A6" s="25" t="str">
        <x:v>EBITDA</x:v>
      </x:c>
      <x:c r="B6" s="26" t="n">
        <x:v>0</x:v>
      </x:c>
      <x:c r="C6" s="26" t="n">
        <x:f>C4-C5</x:f>
        <x:v>-66776</x:v>
      </x:c>
      <x:c r="D6" s="26" t="n">
        <x:f>D4-D5</x:f>
        <x:v>135747.19999999995</x:v>
      </x:c>
      <x:c r="E6" s="26" t="n">
        <x:f>E4-E5</x:f>
        <x:v>676131.2</x:v>
      </x:c>
      <x:c r="F6" s="26" t="n">
        <x:f>F4-F5</x:f>
        <x:v>1587246</x:v>
      </x:c>
      <x:c r="G6" s="26" t="n">
        <x:f>G4-G5</x:f>
        <x:v>2529994</x:v>
      </x:c>
    </x:row>
    <x:row r="7">
      <x:c r="A7" s="25" t="str">
        <x:v>Depreciation / amortization</x:v>
      </x:c>
      <x:c r="B7" s="26" t="n">
        <x:v>0</x:v>
      </x:c>
      <x:c r="C7" s="26" t="n">
        <x:f>Costs!I4</x:f>
        <x:v>83333</x:v>
      </x:c>
      <x:c r="D7" s="26" t="n">
        <x:f>Costs!I5</x:f>
        <x:v>83333</x:v>
      </x:c>
      <x:c r="E7" s="26" t="n">
        <x:f>Costs!I6</x:f>
        <x:v>83334</x:v>
      </x:c>
      <x:c r="F7" s="26" t="n">
        <x:f>Costs!I7</x:f>
        <x:v>0</x:v>
      </x:c>
      <x:c r="G7" s="26" t="n">
        <x:f>Costs!I8</x:f>
        <x:v>0</x:v>
      </x:c>
    </x:row>
    <x:row r="8">
      <x:c r="A8" s="25" t="str">
        <x:v>EBIT</x:v>
      </x:c>
      <x:c r="B8" s="26" t="n">
        <x:v>0</x:v>
      </x:c>
      <x:c r="C8" s="26" t="n">
        <x:f>C6-C7</x:f>
        <x:v>-150109</x:v>
      </x:c>
      <x:c r="D8" s="26" t="n">
        <x:f>D6-D7</x:f>
        <x:v>52414.19999999995</x:v>
      </x:c>
      <x:c r="E8" s="26" t="n">
        <x:f>E6-E7</x:f>
        <x:v>592797.2</x:v>
      </x:c>
      <x:c r="F8" s="26" t="n">
        <x:f>F6-F7</x:f>
        <x:v>1587246</x:v>
      </x:c>
      <x:c r="G8" s="26" t="n">
        <x:f>G6-G7</x:f>
        <x:v>2529994</x:v>
      </x:c>
    </x:row>
    <x:row r="9">
      <x:c r="A9" s="25" t="str">
        <x:v>Income tax</x:v>
      </x:c>
      <x:c r="B9" s="26" t="n">
        <x:v>0</x:v>
      </x:c>
      <x:c r="C9" s="26" t="n">
        <x:f>MAX(0,C8*Inputs!B8)</x:f>
        <x:v>0</x:v>
      </x:c>
      <x:c r="D9" s="26" t="n">
        <x:f>MAX(0,D8*Inputs!B8)</x:f>
        <x:v>13103.549999999988</x:v>
      </x:c>
      <x:c r="E9" s="26" t="n">
        <x:f>MAX(0,E8*Inputs!B8)</x:f>
        <x:v>148199.3</x:v>
      </x:c>
      <x:c r="F9" s="26" t="n">
        <x:f>MAX(0,F8*Inputs!B8)</x:f>
        <x:v>396811.5</x:v>
      </x:c>
      <x:c r="G9" s="26" t="n">
        <x:f>MAX(0,G8*Inputs!B8)</x:f>
        <x:v>632498.5</x:v>
      </x:c>
    </x:row>
    <x:row r="10">
      <x:c r="A10" s="25" t="str">
        <x:v>Capex</x:v>
      </x:c>
      <x:c r="B10" s="26" t="n">
        <x:v>0</x:v>
      </x:c>
      <x:c r="C10" s="26" t="n">
        <x:f>Inputs!F29</x:f>
        <x:v>50000</x:v>
      </x:c>
      <x:c r="D10" s="26" t="n">
        <x:f>Inputs!F30</x:f>
        <x:v>30000</x:v>
      </x:c>
      <x:c r="E10" s="26" t="n">
        <x:f>Inputs!F31</x:f>
        <x:v>40000</x:v>
      </x:c>
      <x:c r="F10" s="26" t="n">
        <x:f>Inputs!F32</x:f>
        <x:v>60000</x:v>
      </x:c>
      <x:c r="G10" s="26" t="n">
        <x:f>Inputs!F33</x:f>
        <x:v>80000</x:v>
      </x:c>
    </x:row>
    <x:row r="11">
      <x:c r="A11" s="25" t="str">
        <x:v>Net working capital</x:v>
      </x:c>
      <x:c r="B11" s="26" t="n">
        <x:v>0</x:v>
      </x:c>
      <x:c r="C11" s="26" t="n">
        <x:f>C4*Inputs!B16</x:f>
        <x:v>15870</x:v>
      </x:c>
      <x:c r="D11" s="26" t="n">
        <x:f>D4*Inputs!B16</x:f>
        <x:v>48204</x:v>
      </x:c>
      <x:c r="E11" s="26" t="n">
        <x:f>E4*Inputs!B16</x:f>
        <x:v>109884</x:v>
      </x:c>
      <x:c r="F11" s="26" t="n">
        <x:f>F4*Inputs!B16</x:f>
        <x:v>192810</x:v>
      </x:c>
      <x:c r="G11" s="26" t="n">
        <x:f>G4*Inputs!B16</x:f>
        <x:v>286830</x:v>
      </x:c>
    </x:row>
    <x:row r="12">
      <x:c r="A12" s="25" t="str">
        <x:v>Change in NWC</x:v>
      </x:c>
      <x:c r="B12" s="26" t="n">
        <x:v>0</x:v>
      </x:c>
      <x:c r="C12" s="26" t="n">
        <x:f>C11-B11</x:f>
        <x:v>15870</x:v>
      </x:c>
      <x:c r="D12" s="26" t="n">
        <x:f>D11-C11</x:f>
        <x:v>32334</x:v>
      </x:c>
      <x:c r="E12" s="26" t="n">
        <x:f>E11-D11</x:f>
        <x:v>61680</x:v>
      </x:c>
      <x:c r="F12" s="26" t="n">
        <x:f>F11-E11</x:f>
        <x:v>82926</x:v>
      </x:c>
      <x:c r="G12" s="26" t="n">
        <x:f>G11-F11</x:f>
        <x:v>94020</x:v>
      </x:c>
    </x:row>
    <x:row r="13">
      <x:c r="A13" s="23" t="str">
        <x:v>Free cash flow</x:v>
      </x:c>
      <x:c r="B13" s="31" t="n">
        <x:f>-Inputs!B10</x:f>
        <x:v>-250000</x:v>
      </x:c>
      <x:c r="C13" s="31" t="n">
        <x:f>C8-C9+C7-C10-C12</x:f>
        <x:v>-132646</x:v>
      </x:c>
      <x:c r="D13" s="31" t="n">
        <x:f>D8-D9+D7-D10-D12</x:f>
        <x:v>60309.649999999965</x:v>
      </x:c>
      <x:c r="E13" s="31" t="n">
        <x:f>E8-E9+E7-E10-E12</x:f>
        <x:v>426251.8999999999</x:v>
      </x:c>
      <x:c r="F13" s="31" t="n">
        <x:f>F8-F9+F7-F10-F12</x:f>
        <x:v>1047508.5</x:v>
      </x:c>
      <x:c r="G13" s="31" t="n">
        <x:f>G8-G9+G7-G10-G12</x:f>
        <x:v>1723475.5</x:v>
      </x:c>
    </x:row>
    <x:row r="14">
      <x:c r="A14" s="23" t="str">
        <x:v>Cumulative FCF</x:v>
      </x:c>
      <x:c r="B14" s="31" t="n">
        <x:f>B13</x:f>
        <x:v>-250000</x:v>
      </x:c>
      <x:c r="C14" s="31" t="n">
        <x:f>B14+C13</x:f>
        <x:v>-382646</x:v>
      </x:c>
      <x:c r="D14" s="31" t="n">
        <x:f>C14+D13</x:f>
        <x:v>-322336.35000000003</x:v>
      </x:c>
      <x:c r="E14" s="31" t="n">
        <x:f>D14+E13</x:f>
        <x:v>103915.54999999987</x:v>
      </x:c>
      <x:c r="F14" s="31" t="n">
        <x:f>E14+F13</x:f>
        <x:v>1151424.0499999998</x:v>
      </x:c>
      <x:c r="G14" s="31" t="n">
        <x:f>F14+G13</x:f>
        <x:v>2874899.55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abcd9633fadd429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75" hidden="0" customWidth="1"/>
    <x:col min="3" max="3" width="17.5" hidden="0" customWidth="1"/>
    <x:col min="4" max="4" width="5" hidden="0" customWidth="1"/>
    <x:col min="5" max="5" width="18.75" hidden="0" customWidth="1"/>
    <x:col min="6" max="6" width="16.25" hidden="0" customWidth="1"/>
    <x:col min="7" max="7" width="16.25" hidden="0" customWidth="1"/>
    <x:col min="8" max="8" width="16.25" hidden="0" customWidth="1"/>
  </x:cols>
  <x:sheetData>
    <x:row r="1">
      <x:c r="A1" s="32" t="str">
        <x:v>Sensitivity Analysis</x:v>
      </x:c>
      <x:c r="B1" s="32" t="str">
        <x:v>Sensitivity Analysis</x:v>
      </x:c>
      <x:c r="C1" s="32" t="str">
        <x:v>Sensitivity Analysis</x:v>
      </x:c>
      <x:c r="D1" s="32" t="str">
        <x:v>Sensitivity Analysis</x:v>
      </x:c>
      <x:c r="E1" s="32" t="str">
        <x:v>Sensitivity Analysis</x:v>
      </x:c>
      <x:c r="F1" s="32" t="str">
        <x:v>Sensitivity Analysis</x:v>
      </x:c>
      <x:c r="G1" s="32" t="str">
        <x:v>Sensitivity Analysis</x:v>
      </x:c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9" t="str">
        <x:v>Revenue factor</x:v>
      </x:c>
      <x:c r="B3" s="29" t="str">
        <x:v>Cost factor</x:v>
      </x:c>
      <x:c r="C3" s="29" t="str">
        <x:v>NPV @ 10%</x:v>
      </x:c>
      <x:c r="D3" s="22"/>
      <x:c r="E3" s="29" t="str">
        <x:v>NPV matrix</x:v>
      </x:c>
      <x:c r="F3" s="29" t="str">
        <x:v>Cost -15%</x:v>
      </x:c>
      <x:c r="G3" s="29" t="str">
        <x:v>Base cost</x:v>
      </x:c>
      <x:c r="H3" s="29" t="str">
        <x:v>Cost +15%</x:v>
      </x:c>
    </x:row>
    <x:row r="4">
      <x:c r="A4" s="27" t="n">
        <x:v>0.85</x:v>
      </x:c>
      <x:c r="B4" s="27" t="n">
        <x:v>0.85</x:v>
      </x:c>
      <x:c r="C4" s="26" t="n">
        <x:f>NPV(Inputs!B7,((((Revenue!K4*A4)-((Costs!B4+Costs!D4+Costs!E4+Costs!G4)*B4+Costs!C4*A4+(Revenue!K4*A4)*Inputs!E29))-Costs!I4)-MAX(0,(((Revenue!K4*A4)-((Costs!B4+Costs!D4+Costs!E4+Costs!G4)*B4+Costs!C4*A4+(Revenue!K4*A4)*Inputs!E29))-Costs!I4)*Inputs!B8)+Costs!I4-(Inputs!F29*B4)-((Revenue!K4*A4)*Inputs!B16-0)),((((Revenue!K5*A4)-((Costs!B5+Costs!D5+Costs!E5+Costs!G5)*B4+Costs!C5*A4+(Revenue!K5*A4)*Inputs!E30))-Costs!I5)-MAX(0,(((Revenue!K5*A4)-((Costs!B5+Costs!D5+Costs!E5+Costs!G5)*B4+Costs!C5*A4+(Revenue!K5*A4)*Inputs!E30))-Costs!I5)*Inputs!B8)+Costs!I5-(Inputs!F30*B4)-((Revenue!K5*A4)*Inputs!B16-(Revenue!K4*A4*Inputs!B16))),((((Revenue!K6*A4)-((Costs!B6+Costs!D6+Costs!E6+Costs!G6)*B4+Costs!C6*A4+(Revenue!K6*A4)*Inputs!E31))-Costs!I6)-MAX(0,(((Revenue!K6*A4)-((Costs!B6+Costs!D6+Costs!E6+Costs!G6)*B4+Costs!C6*A4+(Revenue!K6*A4)*Inputs!E31))-Costs!I6)*Inputs!B8)+Costs!I6-(Inputs!F31*B4)-((Revenue!K6*A4)*Inputs!B16-(Revenue!K5*A4*Inputs!B16))),((((Revenue!K7*A4)-((Costs!B7+Costs!D7+Costs!E7+Costs!G7)*B4+Costs!C7*A4+(Revenue!K7*A4)*Inputs!E32))-Costs!I7)-MAX(0,(((Revenue!K7*A4)-((Costs!B7+Costs!D7+Costs!E7+Costs!G7)*B4+Costs!C7*A4+(Revenue!K7*A4)*Inputs!E32))-Costs!I7)*Inputs!B8)+Costs!I7-(Inputs!F32*B4)-((Revenue!K7*A4)*Inputs!B16-(Revenue!K6*A4*Inputs!B16))),((((Revenue!K8*A4)-((Costs!B8+Costs!D8+Costs!E8+Costs!G8)*B4+Costs!C8*A4+(Revenue!K8*A4)*Inputs!E33))-Costs!I8)-MAX(0,(((Revenue!K8*A4)-((Costs!B8+Costs!D8+Costs!E8+Costs!G8)*B4+Costs!C8*A4+(Revenue!K8*A4)*Inputs!E33))-Costs!I8)*Inputs!B8)+Costs!I8-(Inputs!F33*B4)-((Revenue!K8*A4)*Inputs!B16-(Revenue!K7*A4*Inputs!B16))))-Inputs!B10*B4</x:f>
        <x:v>1522273.8949028566</x:v>
      </x:c>
      <x:c r="D4" s="22"/>
      <x:c r="E4" s="25" t="str">
        <x:v>Revenue -15%</x:v>
      </x:c>
      <x:c r="F4" s="26" t="n">
        <x:f>C4</x:f>
        <x:v>1522273.8949028566</x:v>
      </x:c>
      <x:c r="G4" s="26" t="n">
        <x:f>C5</x:f>
        <x:v>927118.2062390172</x:v>
      </x:c>
      <x:c r="H4" s="26" t="n">
        <x:f>C6</x:f>
        <x:v>325340.17873220274</x:v>
      </x:c>
    </x:row>
    <x:row r="5">
      <x:c r="A5" s="27" t="n">
        <x:v>0.85</x:v>
      </x:c>
      <x:c r="B5" s="27" t="n">
        <x:v>1</x:v>
      </x:c>
      <x:c r="C5" s="26" t="n">
        <x:f>NPV(Inputs!B7,((((Revenue!K4*A5)-((Costs!B4+Costs!D4+Costs!E4+Costs!G4)*B5+Costs!C4*A5+(Revenue!K4*A5)*Inputs!E29))-Costs!I4)-MAX(0,(((Revenue!K4*A5)-((Costs!B4+Costs!D4+Costs!E4+Costs!G4)*B5+Costs!C4*A5+(Revenue!K4*A5)*Inputs!E29))-Costs!I4)*Inputs!B8)+Costs!I4-(Inputs!F29*B5)-((Revenue!K4*A5)*Inputs!B16-0)),((((Revenue!K5*A5)-((Costs!B5+Costs!D5+Costs!E5+Costs!G5)*B5+Costs!C5*A5+(Revenue!K5*A5)*Inputs!E30))-Costs!I5)-MAX(0,(((Revenue!K5*A5)-((Costs!B5+Costs!D5+Costs!E5+Costs!G5)*B5+Costs!C5*A5+(Revenue!K5*A5)*Inputs!E30))-Costs!I5)*Inputs!B8)+Costs!I5-(Inputs!F30*B5)-((Revenue!K5*A5)*Inputs!B16-(Revenue!K4*A5*Inputs!B16))),((((Revenue!K6*A5)-((Costs!B6+Costs!D6+Costs!E6+Costs!G6)*B5+Costs!C6*A5+(Revenue!K6*A5)*Inputs!E31))-Costs!I6)-MAX(0,(((Revenue!K6*A5)-((Costs!B6+Costs!D6+Costs!E6+Costs!G6)*B5+Costs!C6*A5+(Revenue!K6*A5)*Inputs!E31))-Costs!I6)*Inputs!B8)+Costs!I6-(Inputs!F31*B5)-((Revenue!K6*A5)*Inputs!B16-(Revenue!K5*A5*Inputs!B16))),((((Revenue!K7*A5)-((Costs!B7+Costs!D7+Costs!E7+Costs!G7)*B5+Costs!C7*A5+(Revenue!K7*A5)*Inputs!E32))-Costs!I7)-MAX(0,(((Revenue!K7*A5)-((Costs!B7+Costs!D7+Costs!E7+Costs!G7)*B5+Costs!C7*A5+(Revenue!K7*A5)*Inputs!E32))-Costs!I7)*Inputs!B8)+Costs!I7-(Inputs!F32*B5)-((Revenue!K7*A5)*Inputs!B16-(Revenue!K6*A5*Inputs!B16))),((((Revenue!K8*A5)-((Costs!B8+Costs!D8+Costs!E8+Costs!G8)*B5+Costs!C8*A5+(Revenue!K8*A5)*Inputs!E33))-Costs!I8)-MAX(0,(((Revenue!K8*A5)-((Costs!B8+Costs!D8+Costs!E8+Costs!G8)*B5+Costs!C8*A5+(Revenue!K8*A5)*Inputs!E33))-Costs!I8)*Inputs!B8)+Costs!I8-(Inputs!F33*B5)-((Revenue!K8*A5)*Inputs!B16-(Revenue!K7*A5*Inputs!B16))))-Inputs!B10*B5</x:f>
        <x:v>927118.2062390172</x:v>
      </x:c>
      <x:c r="D5" s="22"/>
      <x:c r="E5" s="25" t="str">
        <x:v>Base revenue</x:v>
      </x:c>
      <x:c r="F5" s="26" t="n">
        <x:f>C7</x:f>
        <x:v>2365996.9808507855</x:v>
      </x:c>
      <x:c r="G5" s="26" t="n">
        <x:f>C8</x:f>
        <x:v>1785109.8624348803</x:v>
      </x:c>
      <x:c r="H5" s="26" t="n">
        <x:f>C9</x:f>
        <x:v>1194161.2150933552</x:v>
      </x:c>
    </x:row>
    <x:row r="6">
      <x:c r="A6" s="27" t="n">
        <x:v>0.85</x:v>
      </x:c>
      <x:c r="B6" s="27" t="n">
        <x:v>1.15</x:v>
      </x:c>
      <x:c r="C6" s="26" t="n">
        <x:f>NPV(Inputs!B7,((((Revenue!K4*A6)-((Costs!B4+Costs!D4+Costs!E4+Costs!G4)*B6+Costs!C4*A6+(Revenue!K4*A6)*Inputs!E29))-Costs!I4)-MAX(0,(((Revenue!K4*A6)-((Costs!B4+Costs!D4+Costs!E4+Costs!G4)*B6+Costs!C4*A6+(Revenue!K4*A6)*Inputs!E29))-Costs!I4)*Inputs!B8)+Costs!I4-(Inputs!F29*B6)-((Revenue!K4*A6)*Inputs!B16-0)),((((Revenue!K5*A6)-((Costs!B5+Costs!D5+Costs!E5+Costs!G5)*B6+Costs!C5*A6+(Revenue!K5*A6)*Inputs!E30))-Costs!I5)-MAX(0,(((Revenue!K5*A6)-((Costs!B5+Costs!D5+Costs!E5+Costs!G5)*B6+Costs!C5*A6+(Revenue!K5*A6)*Inputs!E30))-Costs!I5)*Inputs!B8)+Costs!I5-(Inputs!F30*B6)-((Revenue!K5*A6)*Inputs!B16-(Revenue!K4*A6*Inputs!B16))),((((Revenue!K6*A6)-((Costs!B6+Costs!D6+Costs!E6+Costs!G6)*B6+Costs!C6*A6+(Revenue!K6*A6)*Inputs!E31))-Costs!I6)-MAX(0,(((Revenue!K6*A6)-((Costs!B6+Costs!D6+Costs!E6+Costs!G6)*B6+Costs!C6*A6+(Revenue!K6*A6)*Inputs!E31))-Costs!I6)*Inputs!B8)+Costs!I6-(Inputs!F31*B6)-((Revenue!K6*A6)*Inputs!B16-(Revenue!K5*A6*Inputs!B16))),((((Revenue!K7*A6)-((Costs!B7+Costs!D7+Costs!E7+Costs!G7)*B6+Costs!C7*A6+(Revenue!K7*A6)*Inputs!E32))-Costs!I7)-MAX(0,(((Revenue!K7*A6)-((Costs!B7+Costs!D7+Costs!E7+Costs!G7)*B6+Costs!C7*A6+(Revenue!K7*A6)*Inputs!E32))-Costs!I7)*Inputs!B8)+Costs!I7-(Inputs!F32*B6)-((Revenue!K7*A6)*Inputs!B16-(Revenue!K6*A6*Inputs!B16))),((((Revenue!K8*A6)-((Costs!B8+Costs!D8+Costs!E8+Costs!G8)*B6+Costs!C8*A6+(Revenue!K8*A6)*Inputs!E33))-Costs!I8)-MAX(0,(((Revenue!K8*A6)-((Costs!B8+Costs!D8+Costs!E8+Costs!G8)*B6+Costs!C8*A6+(Revenue!K8*A6)*Inputs!E33))-Costs!I8)*Inputs!B8)+Costs!I8-(Inputs!F33*B6)-((Revenue!K8*A6)*Inputs!B16-(Revenue!K7*A6*Inputs!B16))))-Inputs!B10*B6</x:f>
        <x:v>325340.17873220274</x:v>
      </x:c>
      <x:c r="D6" s="22"/>
      <x:c r="E6" s="25" t="str">
        <x:v>Revenue +15%</x:v>
      </x:c>
      <x:c r="F6" s="26" t="n">
        <x:f>C10</x:f>
        <x:v>3209720.066798714</x:v>
      </x:c>
      <x:c r="G6" s="26" t="n">
        <x:f>C11</x:f>
        <x:v>2628832.9483828093</x:v>
      </x:c>
      <x:c r="H6" s="26" t="n">
        <x:f>C12</x:f>
        <x:v>2047945.8299669037</x:v>
      </x:c>
    </x:row>
    <x:row r="7">
      <x:c r="A7" s="27" t="n">
        <x:v>1</x:v>
      </x:c>
      <x:c r="B7" s="27" t="n">
        <x:v>0.85</x:v>
      </x:c>
      <x:c r="C7" s="26" t="n">
        <x:f>NPV(Inputs!B7,((((Revenue!K4*A7)-((Costs!B4+Costs!D4+Costs!E4+Costs!G4)*B7+Costs!C4*A7+(Revenue!K4*A7)*Inputs!E29))-Costs!I4)-MAX(0,(((Revenue!K4*A7)-((Costs!B4+Costs!D4+Costs!E4+Costs!G4)*B7+Costs!C4*A7+(Revenue!K4*A7)*Inputs!E29))-Costs!I4)*Inputs!B8)+Costs!I4-(Inputs!F29*B7)-((Revenue!K4*A7)*Inputs!B16-0)),((((Revenue!K5*A7)-((Costs!B5+Costs!D5+Costs!E5+Costs!G5)*B7+Costs!C5*A7+(Revenue!K5*A7)*Inputs!E30))-Costs!I5)-MAX(0,(((Revenue!K5*A7)-((Costs!B5+Costs!D5+Costs!E5+Costs!G5)*B7+Costs!C5*A7+(Revenue!K5*A7)*Inputs!E30))-Costs!I5)*Inputs!B8)+Costs!I5-(Inputs!F30*B7)-((Revenue!K5*A7)*Inputs!B16-(Revenue!K4*A7*Inputs!B16))),((((Revenue!K6*A7)-((Costs!B6+Costs!D6+Costs!E6+Costs!G6)*B7+Costs!C6*A7+(Revenue!K6*A7)*Inputs!E31))-Costs!I6)-MAX(0,(((Revenue!K6*A7)-((Costs!B6+Costs!D6+Costs!E6+Costs!G6)*B7+Costs!C6*A7+(Revenue!K6*A7)*Inputs!E31))-Costs!I6)*Inputs!B8)+Costs!I6-(Inputs!F31*B7)-((Revenue!K6*A7)*Inputs!B16-(Revenue!K5*A7*Inputs!B16))),((((Revenue!K7*A7)-((Costs!B7+Costs!D7+Costs!E7+Costs!G7)*B7+Costs!C7*A7+(Revenue!K7*A7)*Inputs!E32))-Costs!I7)-MAX(0,(((Revenue!K7*A7)-((Costs!B7+Costs!D7+Costs!E7+Costs!G7)*B7+Costs!C7*A7+(Revenue!K7*A7)*Inputs!E32))-Costs!I7)*Inputs!B8)+Costs!I7-(Inputs!F32*B7)-((Revenue!K7*A7)*Inputs!B16-(Revenue!K6*A7*Inputs!B16))),((((Revenue!K8*A7)-((Costs!B8+Costs!D8+Costs!E8+Costs!G8)*B7+Costs!C8*A7+(Revenue!K8*A7)*Inputs!E33))-Costs!I8)-MAX(0,(((Revenue!K8*A7)-((Costs!B8+Costs!D8+Costs!E8+Costs!G8)*B7+Costs!C8*A7+(Revenue!K8*A7)*Inputs!E33))-Costs!I8)*Inputs!B8)+Costs!I8-(Inputs!F33*B7)-((Revenue!K8*A7)*Inputs!B16-(Revenue!K7*A7*Inputs!B16))))-Inputs!B10*B7</x:f>
        <x:v>2365996.9808507855</x:v>
      </x:c>
      <x:c r="D7" s="22"/>
      <x:c r="E7" s="22"/>
      <x:c r="F7" s="22"/>
      <x:c r="G7" s="22"/>
      <x:c r="H7" s="22"/>
    </x:row>
    <x:row r="8">
      <x:c r="A8" s="27" t="n">
        <x:v>1</x:v>
      </x:c>
      <x:c r="B8" s="27" t="n">
        <x:v>1</x:v>
      </x:c>
      <x:c r="C8" s="26" t="n">
        <x:f>NPV(Inputs!B7,((((Revenue!K4*A8)-((Costs!B4+Costs!D4+Costs!E4+Costs!G4)*B8+Costs!C4*A8+(Revenue!K4*A8)*Inputs!E29))-Costs!I4)-MAX(0,(((Revenue!K4*A8)-((Costs!B4+Costs!D4+Costs!E4+Costs!G4)*B8+Costs!C4*A8+(Revenue!K4*A8)*Inputs!E29))-Costs!I4)*Inputs!B8)+Costs!I4-(Inputs!F29*B8)-((Revenue!K4*A8)*Inputs!B16-0)),((((Revenue!K5*A8)-((Costs!B5+Costs!D5+Costs!E5+Costs!G5)*B8+Costs!C5*A8+(Revenue!K5*A8)*Inputs!E30))-Costs!I5)-MAX(0,(((Revenue!K5*A8)-((Costs!B5+Costs!D5+Costs!E5+Costs!G5)*B8+Costs!C5*A8+(Revenue!K5*A8)*Inputs!E30))-Costs!I5)*Inputs!B8)+Costs!I5-(Inputs!F30*B8)-((Revenue!K5*A8)*Inputs!B16-(Revenue!K4*A8*Inputs!B16))),((((Revenue!K6*A8)-((Costs!B6+Costs!D6+Costs!E6+Costs!G6)*B8+Costs!C6*A8+(Revenue!K6*A8)*Inputs!E31))-Costs!I6)-MAX(0,(((Revenue!K6*A8)-((Costs!B6+Costs!D6+Costs!E6+Costs!G6)*B8+Costs!C6*A8+(Revenue!K6*A8)*Inputs!E31))-Costs!I6)*Inputs!B8)+Costs!I6-(Inputs!F31*B8)-((Revenue!K6*A8)*Inputs!B16-(Revenue!K5*A8*Inputs!B16))),((((Revenue!K7*A8)-((Costs!B7+Costs!D7+Costs!E7+Costs!G7)*B8+Costs!C7*A8+(Revenue!K7*A8)*Inputs!E32))-Costs!I7)-MAX(0,(((Revenue!K7*A8)-((Costs!B7+Costs!D7+Costs!E7+Costs!G7)*B8+Costs!C7*A8+(Revenue!K7*A8)*Inputs!E32))-Costs!I7)*Inputs!B8)+Costs!I7-(Inputs!F32*B8)-((Revenue!K7*A8)*Inputs!B16-(Revenue!K6*A8*Inputs!B16))),((((Revenue!K8*A8)-((Costs!B8+Costs!D8+Costs!E8+Costs!G8)*B8+Costs!C8*A8+(Revenue!K8*A8)*Inputs!E33))-Costs!I8)-MAX(0,(((Revenue!K8*A8)-((Costs!B8+Costs!D8+Costs!E8+Costs!G8)*B8+Costs!C8*A8+(Revenue!K8*A8)*Inputs!E33))-Costs!I8)*Inputs!B8)+Costs!I8-(Inputs!F33*B8)-((Revenue!K8*A8)*Inputs!B16-(Revenue!K7*A8*Inputs!B16))))-Inputs!B10*B8</x:f>
        <x:v>1785109.8624348803</x:v>
      </x:c>
      <x:c r="D8" s="22"/>
      <x:c r="E8" s="22"/>
      <x:c r="F8" s="22"/>
      <x:c r="G8" s="22"/>
      <x:c r="H8" s="22"/>
    </x:row>
    <x:row r="9">
      <x:c r="A9" s="27" t="n">
        <x:v>1</x:v>
      </x:c>
      <x:c r="B9" s="27" t="n">
        <x:v>1.15</x:v>
      </x:c>
      <x:c r="C9" s="26" t="n">
        <x:f>NPV(Inputs!B7,((((Revenue!K4*A9)-((Costs!B4+Costs!D4+Costs!E4+Costs!G4)*B9+Costs!C4*A9+(Revenue!K4*A9)*Inputs!E29))-Costs!I4)-MAX(0,(((Revenue!K4*A9)-((Costs!B4+Costs!D4+Costs!E4+Costs!G4)*B9+Costs!C4*A9+(Revenue!K4*A9)*Inputs!E29))-Costs!I4)*Inputs!B8)+Costs!I4-(Inputs!F29*B9)-((Revenue!K4*A9)*Inputs!B16-0)),((((Revenue!K5*A9)-((Costs!B5+Costs!D5+Costs!E5+Costs!G5)*B9+Costs!C5*A9+(Revenue!K5*A9)*Inputs!E30))-Costs!I5)-MAX(0,(((Revenue!K5*A9)-((Costs!B5+Costs!D5+Costs!E5+Costs!G5)*B9+Costs!C5*A9+(Revenue!K5*A9)*Inputs!E30))-Costs!I5)*Inputs!B8)+Costs!I5-(Inputs!F30*B9)-((Revenue!K5*A9)*Inputs!B16-(Revenue!K4*A9*Inputs!B16))),((((Revenue!K6*A9)-((Costs!B6+Costs!D6+Costs!E6+Costs!G6)*B9+Costs!C6*A9+(Revenue!K6*A9)*Inputs!E31))-Costs!I6)-MAX(0,(((Revenue!K6*A9)-((Costs!B6+Costs!D6+Costs!E6+Costs!G6)*B9+Costs!C6*A9+(Revenue!K6*A9)*Inputs!E31))-Costs!I6)*Inputs!B8)+Costs!I6-(Inputs!F31*B9)-((Revenue!K6*A9)*Inputs!B16-(Revenue!K5*A9*Inputs!B16))),((((Revenue!K7*A9)-((Costs!B7+Costs!D7+Costs!E7+Costs!G7)*B9+Costs!C7*A9+(Revenue!K7*A9)*Inputs!E32))-Costs!I7)-MAX(0,(((Revenue!K7*A9)-((Costs!B7+Costs!D7+Costs!E7+Costs!G7)*B9+Costs!C7*A9+(Revenue!K7*A9)*Inputs!E32))-Costs!I7)*Inputs!B8)+Costs!I7-(Inputs!F32*B9)-((Revenue!K7*A9)*Inputs!B16-(Revenue!K6*A9*Inputs!B16))),((((Revenue!K8*A9)-((Costs!B8+Costs!D8+Costs!E8+Costs!G8)*B9+Costs!C8*A9+(Revenue!K8*A9)*Inputs!E33))-Costs!I8)-MAX(0,(((Revenue!K8*A9)-((Costs!B8+Costs!D8+Costs!E8+Costs!G8)*B9+Costs!C8*A9+(Revenue!K8*A9)*Inputs!E33))-Costs!I8)*Inputs!B8)+Costs!I8-(Inputs!F33*B9)-((Revenue!K8*A9)*Inputs!B16-(Revenue!K7*A9*Inputs!B16))))-Inputs!B10*B9</x:f>
        <x:v>1194161.2150933552</x:v>
      </x:c>
      <x:c r="D9" s="22"/>
      <x:c r="E9" s="22"/>
      <x:c r="F9" s="22"/>
      <x:c r="G9" s="22"/>
      <x:c r="H9" s="22"/>
    </x:row>
    <x:row r="10">
      <x:c r="A10" s="27" t="n">
        <x:v>1.15</x:v>
      </x:c>
      <x:c r="B10" s="27" t="n">
        <x:v>0.85</x:v>
      </x:c>
      <x:c r="C10" s="26" t="n">
        <x:f>NPV(Inputs!B7,((((Revenue!K4*A10)-((Costs!B4+Costs!D4+Costs!E4+Costs!G4)*B10+Costs!C4*A10+(Revenue!K4*A10)*Inputs!E29))-Costs!I4)-MAX(0,(((Revenue!K4*A10)-((Costs!B4+Costs!D4+Costs!E4+Costs!G4)*B10+Costs!C4*A10+(Revenue!K4*A10)*Inputs!E29))-Costs!I4)*Inputs!B8)+Costs!I4-(Inputs!F29*B10)-((Revenue!K4*A10)*Inputs!B16-0)),((((Revenue!K5*A10)-((Costs!B5+Costs!D5+Costs!E5+Costs!G5)*B10+Costs!C5*A10+(Revenue!K5*A10)*Inputs!E30))-Costs!I5)-MAX(0,(((Revenue!K5*A10)-((Costs!B5+Costs!D5+Costs!E5+Costs!G5)*B10+Costs!C5*A10+(Revenue!K5*A10)*Inputs!E30))-Costs!I5)*Inputs!B8)+Costs!I5-(Inputs!F30*B10)-((Revenue!K5*A10)*Inputs!B16-(Revenue!K4*A10*Inputs!B16))),((((Revenue!K6*A10)-((Costs!B6+Costs!D6+Costs!E6+Costs!G6)*B10+Costs!C6*A10+(Revenue!K6*A10)*Inputs!E31))-Costs!I6)-MAX(0,(((Revenue!K6*A10)-((Costs!B6+Costs!D6+Costs!E6+Costs!G6)*B10+Costs!C6*A10+(Revenue!K6*A10)*Inputs!E31))-Costs!I6)*Inputs!B8)+Costs!I6-(Inputs!F31*B10)-((Revenue!K6*A10)*Inputs!B16-(Revenue!K5*A10*Inputs!B16))),((((Revenue!K7*A10)-((Costs!B7+Costs!D7+Costs!E7+Costs!G7)*B10+Costs!C7*A10+(Revenue!K7*A10)*Inputs!E32))-Costs!I7)-MAX(0,(((Revenue!K7*A10)-((Costs!B7+Costs!D7+Costs!E7+Costs!G7)*B10+Costs!C7*A10+(Revenue!K7*A10)*Inputs!E32))-Costs!I7)*Inputs!B8)+Costs!I7-(Inputs!F32*B10)-((Revenue!K7*A10)*Inputs!B16-(Revenue!K6*A10*Inputs!B16))),((((Revenue!K8*A10)-((Costs!B8+Costs!D8+Costs!E8+Costs!G8)*B10+Costs!C8*A10+(Revenue!K8*A10)*Inputs!E33))-Costs!I8)-MAX(0,(((Revenue!K8*A10)-((Costs!B8+Costs!D8+Costs!E8+Costs!G8)*B10+Costs!C8*A10+(Revenue!K8*A10)*Inputs!E33))-Costs!I8)*Inputs!B8)+Costs!I8-(Inputs!F33*B10)-((Revenue!K8*A10)*Inputs!B16-(Revenue!K7*A10*Inputs!B16))))-Inputs!B10*B10</x:f>
        <x:v>3209720.066798714</x:v>
      </x:c>
      <x:c r="D10" s="22"/>
      <x:c r="E10" s="22"/>
      <x:c r="F10" s="22"/>
      <x:c r="G10" s="22"/>
      <x:c r="H10" s="22"/>
    </x:row>
    <x:row r="11">
      <x:c r="A11" s="27" t="n">
        <x:v>1.15</x:v>
      </x:c>
      <x:c r="B11" s="27" t="n">
        <x:v>1</x:v>
      </x:c>
      <x:c r="C11" s="26" t="n">
        <x:f>NPV(Inputs!B7,((((Revenue!K4*A11)-((Costs!B4+Costs!D4+Costs!E4+Costs!G4)*B11+Costs!C4*A11+(Revenue!K4*A11)*Inputs!E29))-Costs!I4)-MAX(0,(((Revenue!K4*A11)-((Costs!B4+Costs!D4+Costs!E4+Costs!G4)*B11+Costs!C4*A11+(Revenue!K4*A11)*Inputs!E29))-Costs!I4)*Inputs!B8)+Costs!I4-(Inputs!F29*B11)-((Revenue!K4*A11)*Inputs!B16-0)),((((Revenue!K5*A11)-((Costs!B5+Costs!D5+Costs!E5+Costs!G5)*B11+Costs!C5*A11+(Revenue!K5*A11)*Inputs!E30))-Costs!I5)-MAX(0,(((Revenue!K5*A11)-((Costs!B5+Costs!D5+Costs!E5+Costs!G5)*B11+Costs!C5*A11+(Revenue!K5*A11)*Inputs!E30))-Costs!I5)*Inputs!B8)+Costs!I5-(Inputs!F30*B11)-((Revenue!K5*A11)*Inputs!B16-(Revenue!K4*A11*Inputs!B16))),((((Revenue!K6*A11)-((Costs!B6+Costs!D6+Costs!E6+Costs!G6)*B11+Costs!C6*A11+(Revenue!K6*A11)*Inputs!E31))-Costs!I6)-MAX(0,(((Revenue!K6*A11)-((Costs!B6+Costs!D6+Costs!E6+Costs!G6)*B11+Costs!C6*A11+(Revenue!K6*A11)*Inputs!E31))-Costs!I6)*Inputs!B8)+Costs!I6-(Inputs!F31*B11)-((Revenue!K6*A11)*Inputs!B16-(Revenue!K5*A11*Inputs!B16))),((((Revenue!K7*A11)-((Costs!B7+Costs!D7+Costs!E7+Costs!G7)*B11+Costs!C7*A11+(Revenue!K7*A11)*Inputs!E32))-Costs!I7)-MAX(0,(((Revenue!K7*A11)-((Costs!B7+Costs!D7+Costs!E7+Costs!G7)*B11+Costs!C7*A11+(Revenue!K7*A11)*Inputs!E32))-Costs!I7)*Inputs!B8)+Costs!I7-(Inputs!F32*B11)-((Revenue!K7*A11)*Inputs!B16-(Revenue!K6*A11*Inputs!B16))),((((Revenue!K8*A11)-((Costs!B8+Costs!D8+Costs!E8+Costs!G8)*B11+Costs!C8*A11+(Revenue!K8*A11)*Inputs!E33))-Costs!I8)-MAX(0,(((Revenue!K8*A11)-((Costs!B8+Costs!D8+Costs!E8+Costs!G8)*B11+Costs!C8*A11+(Revenue!K8*A11)*Inputs!E33))-Costs!I8)*Inputs!B8)+Costs!I8-(Inputs!F33*B11)-((Revenue!K8*A11)*Inputs!B16-(Revenue!K7*A11*Inputs!B16))))-Inputs!B10*B11</x:f>
        <x:v>2628832.9483828093</x:v>
      </x:c>
      <x:c r="D11" s="22"/>
      <x:c r="E11" s="22"/>
      <x:c r="F11" s="22"/>
      <x:c r="G11" s="22"/>
      <x:c r="H11" s="22"/>
    </x:row>
    <x:row r="12">
      <x:c r="A12" s="27" t="n">
        <x:v>1.15</x:v>
      </x:c>
      <x:c r="B12" s="27" t="n">
        <x:v>1.15</x:v>
      </x:c>
      <x:c r="C12" s="26" t="n">
        <x:f>NPV(Inputs!B7,((((Revenue!K4*A12)-((Costs!B4+Costs!D4+Costs!E4+Costs!G4)*B12+Costs!C4*A12+(Revenue!K4*A12)*Inputs!E29))-Costs!I4)-MAX(0,(((Revenue!K4*A12)-((Costs!B4+Costs!D4+Costs!E4+Costs!G4)*B12+Costs!C4*A12+(Revenue!K4*A12)*Inputs!E29))-Costs!I4)*Inputs!B8)+Costs!I4-(Inputs!F29*B12)-((Revenue!K4*A12)*Inputs!B16-0)),((((Revenue!K5*A12)-((Costs!B5+Costs!D5+Costs!E5+Costs!G5)*B12+Costs!C5*A12+(Revenue!K5*A12)*Inputs!E30))-Costs!I5)-MAX(0,(((Revenue!K5*A12)-((Costs!B5+Costs!D5+Costs!E5+Costs!G5)*B12+Costs!C5*A12+(Revenue!K5*A12)*Inputs!E30))-Costs!I5)*Inputs!B8)+Costs!I5-(Inputs!F30*B12)-((Revenue!K5*A12)*Inputs!B16-(Revenue!K4*A12*Inputs!B16))),((((Revenue!K6*A12)-((Costs!B6+Costs!D6+Costs!E6+Costs!G6)*B12+Costs!C6*A12+(Revenue!K6*A12)*Inputs!E31))-Costs!I6)-MAX(0,(((Revenue!K6*A12)-((Costs!B6+Costs!D6+Costs!E6+Costs!G6)*B12+Costs!C6*A12+(Revenue!K6*A12)*Inputs!E31))-Costs!I6)*Inputs!B8)+Costs!I6-(Inputs!F31*B12)-((Revenue!K6*A12)*Inputs!B16-(Revenue!K5*A12*Inputs!B16))),((((Revenue!K7*A12)-((Costs!B7+Costs!D7+Costs!E7+Costs!G7)*B12+Costs!C7*A12+(Revenue!K7*A12)*Inputs!E32))-Costs!I7)-MAX(0,(((Revenue!K7*A12)-((Costs!B7+Costs!D7+Costs!E7+Costs!G7)*B12+Costs!C7*A12+(Revenue!K7*A12)*Inputs!E32))-Costs!I7)*Inputs!B8)+Costs!I7-(Inputs!F32*B12)-((Revenue!K7*A12)*Inputs!B16-(Revenue!K6*A12*Inputs!B16))),((((Revenue!K8*A12)-((Costs!B8+Costs!D8+Costs!E8+Costs!G8)*B12+Costs!C8*A12+(Revenue!K8*A12)*Inputs!E33))-Costs!I8)-MAX(0,(((Revenue!K8*A12)-((Costs!B8+Costs!D8+Costs!E8+Costs!G8)*B12+Costs!C8*A12+(Revenue!K8*A12)*Inputs!E33))-Costs!I8)*Inputs!B8)+Costs!I8-(Inputs!F33*B12)-((Revenue!K8*A12)*Inputs!B16-(Revenue!K7*A12*Inputs!B16))))-Inputs!B10*B12</x:f>
        <x:v>2047945.8299669037</x:v>
      </x:c>
      <x:c r="D12" s="22"/>
      <x:c r="E12" s="22"/>
      <x:c r="F12" s="22"/>
      <x:c r="G12" s="22"/>
      <x:c r="H12" s="22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.5" hidden="0" customWidth="1"/>
    <x:col min="3" max="3" width="17.5" hidden="0" customWidth="1"/>
    <x:col min="4" max="4" width="16.25" hidden="0" customWidth="1"/>
    <x:col min="5" max="5" width="13.75" hidden="0" customWidth="1"/>
    <x:col min="6" max="6" width="12.5" hidden="0" customWidth="1"/>
  </x:cols>
  <x:sheetData>
    <x:row r="1">
      <x:c r="A1" s="32" t="str">
        <x:v>Model Checks</x:v>
      </x:c>
      <x:c r="B1" s="32" t="str">
        <x:v>Model Checks</x:v>
      </x:c>
      <x:c r="C1" s="32" t="str">
        <x:v>Model Checks</x:v>
      </x:c>
      <x:c r="D1" s="32" t="str">
        <x:v>Model Checks</x:v>
      </x:c>
      <x:c r="E1" s="32" t="str">
        <x:v>Model Checks</x:v>
      </x:c>
      <x:c r="F1" s="32" t="str">
        <x:v>Model Checks</x:v>
      </x:c>
    </x:row>
    <x:row r="2">
      <x:c r="A2" s="22"/>
      <x:c r="B2" s="22"/>
      <x:c r="C2" s="22"/>
      <x:c r="D2" s="22"/>
      <x:c r="E2" s="22"/>
      <x:c r="F2" s="22"/>
    </x:row>
    <x:row r="3">
      <x:c r="A3" s="29" t="str">
        <x:v>Check</x:v>
      </x:c>
      <x:c r="B3" s="29" t="str">
        <x:v>Actual</x:v>
      </x:c>
      <x:c r="C3" s="29" t="str">
        <x:v>Expected</x:v>
      </x:c>
      <x:c r="D3" s="29" t="str">
        <x:v>Difference</x:v>
      </x:c>
      <x:c r="E3" s="29" t="str">
        <x:v>Tolerance</x:v>
      </x:c>
      <x:c r="F3" s="29" t="str">
        <x:v>Status</x:v>
      </x:c>
    </x:row>
    <x:row r="4">
      <x:c r="A4" s="25" t="str">
        <x:v>Revenue total ties to streams</x:v>
      </x:c>
      <x:c r="B4" s="26" t="n">
        <x:f>SUM(Revenue!K4:K8)</x:f>
        <x:v>13071960</x:v>
      </x:c>
      <x:c r="C4" s="26" t="n">
        <x:f>SUM(Revenue!D4:D8)+SUM(Revenue!G4:G8)+SUM(Revenue!J4:J8)</x:f>
        <x:v>13071960</x:v>
      </x:c>
      <x:c r="D4" s="26" t="n">
        <x:f>B4-C4</x:f>
        <x:v>0</x:v>
      </x:c>
      <x:c r="E4" s="26" t="n">
        <x:f>1</x:f>
        <x:v>1</x:v>
      </x:c>
      <x:c r="F4" s="24" t="str">
        <x:f>IF(ABS(D4)&lt;=E4,"OK","Review")</x:f>
        <x:v>OK</x:v>
      </x:c>
    </x:row>
    <x:row r="5">
      <x:c r="A5" s="25" t="str">
        <x:v>Cash opex ties to components</x:v>
      </x:c>
      <x:c r="B5" s="26" t="n">
        <x:f>SUM(Costs!H4:H8)</x:f>
        <x:v>8209617.6</x:v>
      </x:c>
      <x:c r="C5" s="26" t="n">
        <x:f>SUM(Costs!B4:G8)</x:f>
        <x:v>8209617.6</x:v>
      </x:c>
      <x:c r="D5" s="26" t="n">
        <x:f>B5-C5</x:f>
        <x:v>0</x:v>
      </x:c>
      <x:c r="E5" s="26" t="n">
        <x:f>1</x:f>
        <x:v>1</x:v>
      </x:c>
      <x:c r="F5" s="24" t="str">
        <x:f>IF(ABS(D5)&lt;=E5,"OK","Review")</x:f>
        <x:v>OK</x:v>
      </x:c>
    </x:row>
    <x:row r="6">
      <x:c r="A6" s="25" t="str">
        <x:v>Initial investment entered</x:v>
      </x:c>
      <x:c r="B6" s="26" t="n">
        <x:f>-CashFlow!B13</x:f>
        <x:v>250000</x:v>
      </x:c>
      <x:c r="C6" s="26" t="n">
        <x:f>Inputs!B10</x:f>
        <x:v>250000</x:v>
      </x:c>
      <x:c r="D6" s="26" t="n">
        <x:f>B6-C6</x:f>
        <x:v>0</x:v>
      </x:c>
      <x:c r="E6" s="26" t="n">
        <x:f>1</x:f>
        <x:v>1</x:v>
      </x:c>
      <x:c r="F6" s="24" t="str">
        <x:f>IF(ABS(D6)&lt;=E6,"OK","Review")</x:f>
        <x:v>OK</x:v>
      </x:c>
    </x:row>
    <x:row r="7">
      <x:c r="A7" s="25" t="str">
        <x:v>FCF row equals components</x:v>
      </x:c>
      <x:c r="B7" s="26" t="n">
        <x:f>SUM(CashFlow!C13:G13)</x:f>
        <x:v>3124899.55</x:v>
      </x:c>
      <x:c r="C7" s="26" t="n">
        <x:f>SUM(CashFlow!C8:G8)-SUM(CashFlow!C9:G9)+SUM(CashFlow!C7:G7)-SUM(CashFlow!C10:G10)-SUM(CashFlow!C12:G12)</x:f>
        <x:v>3124899.5500000003</x:v>
      </x:c>
      <x:c r="D7" s="26" t="n">
        <x:f>B7-C7</x:f>
        <x:v>-4.656612873077393e-10</x:v>
      </x:c>
      <x:c r="E7" s="26" t="n">
        <x:f>1</x:f>
        <x:v>1</x:v>
      </x:c>
      <x:c r="F7" s="24" t="str">
        <x:f>IF(ABS(D7)&lt;=E7,"OK","Review")</x:f>
        <x:v>OK</x:v>
      </x:c>
    </x:row>
    <x:row r="8">
      <x:c r="A8" s="25" t="str">
        <x:v>NPV is positive</x:v>
      </x:c>
      <x:c r="B8" s="26" t="n">
        <x:f>Summary!B9</x:f>
        <x:v>1785109.8624348803</x:v>
      </x:c>
      <x:c r="C8" s="26" t="n">
        <x:f>0</x:f>
        <x:v>0</x:v>
      </x:c>
      <x:c r="D8" s="26" t="n">
        <x:f>B8-C8</x:f>
        <x:v>1785109.8624348803</x:v>
      </x:c>
      <x:c r="E8" s="26" t="n">
        <x:f>0</x:f>
        <x:v>0</x:v>
      </x:c>
      <x:c r="F8" s="24" t="str">
        <x:f>IF(B8&gt;C8,"OK","Review")</x:f>
        <x:v>OK</x:v>
      </x:c>
    </x:row>
    <x:row r="9">
      <x:c r="A9" s="25" t="str">
        <x:v>IRR exceeds discount rate</x:v>
      </x:c>
      <x:c r="B9" s="27" t="n">
        <x:f>Summary!B10</x:f>
        <x:v>0.7356005069371392</x:v>
      </x:c>
      <x:c r="C9" s="27" t="n">
        <x:f>Summary!B8</x:f>
        <x:v>0.1</x:v>
      </x:c>
      <x:c r="D9" s="27" t="n">
        <x:f>B9-C9</x:f>
        <x:v>0.6356005069371392</x:v>
      </x:c>
      <x:c r="E9" s="25" t="n">
        <x:f>0</x:f>
        <x:v>0</x:v>
      </x:c>
      <x:c r="F9" s="24" t="str">
        <x:f>IF(B9&gt;C9,"OK","Review")</x:f>
        <x:v>OK</x:v>
      </x:c>
    </x:row>
    <x:row r="10">
      <x:c r="A10" s="25" t="str">
        <x:v>Sensitivity downside NPV positive</x:v>
      </x:c>
      <x:c r="B10" s="25" t="n">
        <x:f>Sensitivity!H4</x:f>
        <x:v>325340.17873220274</x:v>
      </x:c>
      <x:c r="C10" s="25" t="n">
        <x:f>0</x:f>
        <x:v>0</x:v>
      </x:c>
      <x:c r="D10" s="25" t="n">
        <x:f>B10-C10</x:f>
        <x:v>325340.17873220274</x:v>
      </x:c>
      <x:c r="E10" s="25" t="n">
        <x:f>0</x:f>
        <x:v>0</x:v>
      </x:c>
      <x:c r="F10" s="24" t="str">
        <x:f>IF(B10&gt;C10,"OK","Review")</x:f>
        <x:v>OK</x:v>
      </x:c>
    </x:row>
    <x:row r="11">
      <x:c r="A11" s="25" t="str">
        <x:v>Overall model status</x:v>
      </x:c>
      <x:c r="B11" s="25" t="str"/>
      <x:c r="C11" s="25" t="str"/>
      <x:c r="D11" s="25" t="str"/>
      <x:c r="E11" s="25" t="str"/>
      <x:c r="F11" s="24" t="str">
        <x:f>IF(COUNTIF(F4:F10,"Review")=0,"OK","Review")</x:f>
        <x:v>OK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27.5" hidden="0" customWidth="1"/>
    <x:col min="3" max="3" width="26.25" hidden="0" customWidth="1"/>
    <x:col min="4" max="4" width="15" hidden="0" customWidth="1"/>
    <x:col min="5" max="5" width="65" hidden="0" customWidth="1"/>
    <x:col min="6" max="6" width="38.75" hidden="0" customWidth="1"/>
  </x:cols>
  <x:sheetData>
    <x:row r="1">
      <x:c r="A1" s="32" t="str">
        <x:v>Sources and Audit Trail</x:v>
      </x:c>
      <x:c r="B1" s="32" t="str">
        <x:v>Sources and Audit Trail</x:v>
      </x:c>
      <x:c r="C1" s="32" t="str">
        <x:v>Sources and Audit Trail</x:v>
      </x:c>
      <x:c r="D1" s="32" t="str">
        <x:v>Sources and Audit Trail</x:v>
      </x:c>
      <x:c r="E1" s="32" t="str">
        <x:v>Sources and Audit Trail</x:v>
      </x:c>
      <x:c r="F1" s="32" t="str">
        <x:v>Sources and Audit Trail</x:v>
      </x:c>
    </x:row>
    <x:row r="2">
      <x:c r="A2" s="22"/>
      <x:c r="B2" s="22"/>
      <x:c r="C2" s="22"/>
      <x:c r="D2" s="22"/>
      <x:c r="E2" s="22"/>
      <x:c r="F2" s="22"/>
    </x:row>
    <x:row r="3">
      <x:c r="A3" s="29" t="str">
        <x:v>Source ID</x:v>
      </x:c>
      <x:c r="B3" s="29" t="str">
        <x:v>Item</x:v>
      </x:c>
      <x:c r="C3" s="29" t="str">
        <x:v>Value used</x:v>
      </x:c>
      <x:c r="D3" s="29" t="str">
        <x:v>As of / period</x:v>
      </x:c>
      <x:c r="E3" s="29" t="str">
        <x:v>Source</x:v>
      </x:c>
      <x:c r="F3" s="29" t="str">
        <x:v>Notes</x:v>
      </x:c>
    </x:row>
    <x:row r="4">
      <x:c r="A4" s="25" t="str">
        <x:v>P1</x:v>
      </x:c>
      <x:c r="B4" s="25" t="str">
        <x:v>LexAI WBS and prototype budget</x:v>
      </x:c>
      <x:c r="C4" s="25" t="str">
        <x:v>508 hours; ¥3,500 direct budget</x:v>
      </x:c>
      <x:c r="D4" s="25" t="str">
        <x:v>2026-06</x:v>
      </x:c>
      <x:c r="E4" s="25" t="str">
        <x:v>D:\Desktop\LexAI\docs\ProjectCharter.md</x:v>
      </x:c>
      <x:c r="F4" s="25" t="str">
        <x:v>Existing project charter.</x:v>
      </x:c>
    </x:row>
    <x:row r="5">
      <x:c r="A5" s="25" t="str">
        <x:v>P2</x:v>
      </x:c>
      <x:c r="B5" s="25" t="str">
        <x:v>LexAI implemented modules and tech stack</x:v>
      </x:c>
      <x:c r="C5" s="25" t="str">
        <x:v>Vue 3 + Spring Boot 3 + Java 21; AI/RAG/legal workflows</x:v>
      </x:c>
      <x:c r="D5" s="25" t="str">
        <x:v>2026-06</x:v>
      </x:c>
      <x:c r="E5" s="25" t="str">
        <x:v>D:\Desktop\LexAI\README.md; docs\项目简介.md</x:v>
      </x:c>
      <x:c r="F5" s="25" t="str">
        <x:v>Used for scope and cost drivers.</x:v>
      </x:c>
    </x:row>
    <x:row r="6">
      <x:c r="A6" s="25" t="str">
        <x:v>S1</x:v>
      </x:c>
      <x:c r="B6" s="25" t="str">
        <x:v>China court case volume</x:v>
      </x:c>
      <x:c r="C6" s="25" t="str">
        <x:v>2025 courts accepted 37.486 million trial/enforcement cases</x:v>
      </x:c>
      <x:c r="D6" s="25" t="str">
        <x:v>2025</x:v>
      </x:c>
      <x:c r="E6" s="25" t="str">
        <x:v>https://www.moj.gov.cn/pub/sfbgw/zwxxgkztzl/2026nianzhuanti/2026qglh0206/lhjj20260206/lhjjyw20260206/202603/t20260310_532524.html</x:v>
      </x:c>
      <x:c r="F6" s="25" t="str">
        <x:v>Indicates sustained legal-service demand.</x:v>
      </x:c>
    </x:row>
    <x:row r="7">
      <x:c r="A7" s="25" t="str">
        <x:v>S2</x:v>
      </x:c>
      <x:c r="B7" s="25" t="str">
        <x:v>China legal-service supply</x:v>
      </x:c>
      <x:c r="C7" s="25" t="str">
        <x:v>83万 lawyers; 4.5万 law firms</x:v>
      </x:c>
      <x:c r="D7" s="25" t="str">
        <x:v>2025-09</x:v>
      </x:c>
      <x:c r="E7" s="25" t="str">
        <x:v>https://www.moj.gov.cn/pub/sfbgw/sfbxwfbhzb/2025nsfbfbh/202509gzlwcsswgh/202509gzlwcsswgh_wzzb/</x:v>
      </x:c>
      <x:c r="F7" s="25" t="str">
        <x:v>Legal-service market scale.</x:v>
      </x:c>
    </x:row>
    <x:row r="8">
      <x:c r="A8" s="25" t="str">
        <x:v>S3</x:v>
      </x:c>
      <x:c r="B8" s="25" t="str">
        <x:v>Global legal AI market</x:v>
      </x:c>
      <x:c r="C8" s="25" t="str">
        <x:v>USD 1.45B in 2024; USD 3.90B by 2030; 17.3% CAGR</x:v>
      </x:c>
      <x:c r="D8" s="25" t="str">
        <x:v>2024-2030</x:v>
      </x:c>
      <x:c r="E8" s="25" t="str">
        <x:v>https://www.grandviewresearch.com/industry-analysis/legal-ai-market-report</x:v>
      </x:c>
      <x:c r="F8" s="25" t="str">
        <x:v>External market growth benchmark.</x:v>
      </x:c>
    </x:row>
    <x:row r="9">
      <x:c r="A9" s="25" t="str">
        <x:v>S4</x:v>
      </x:c>
      <x:c r="B9" s="25" t="str">
        <x:v>Tencent Hunyuan token price</x:v>
      </x:c>
      <x:c r="C9" s="25" t="str">
        <x:v>HY 2.0 Instruct input ¥3.18/m tokens, output ¥7.95/m tokens for &lt;=32k</x:v>
      </x:c>
      <x:c r="D9" s="25" t="str">
        <x:v>2026-06</x:v>
      </x:c>
      <x:c r="E9" s="25" t="str">
        <x:v>https://cloud.tencent.com/document/product/1729/97731</x:v>
      </x:c>
      <x:c r="F9" s="25" t="str">
        <x:v>Used to derive AI task cost.</x:v>
      </x:c>
    </x:row>
    <x:row r="10">
      <x:c r="A10" s="25" t="str">
        <x:v>S5</x:v>
      </x:c>
      <x:c r="B10" s="25" t="str">
        <x:v>VAT for services/intangibles</x:v>
      </x:c>
      <x:c r="C10" s="25" t="str">
        <x:v>6%</x:v>
      </x:c>
      <x:c r="D10" s="25" t="str">
        <x:v>effective 2026</x:v>
      </x:c>
      <x:c r="E10" s="25" t="str">
        <x:v>https://fgk.chinatax.gov.cn/zcfgk/c100009/c5237365/content.html</x:v>
      </x:c>
      <x:c r="F10" s="25" t="str">
        <x:v>Revenue model is net of VAT; report includes VAT reference.</x:v>
      </x:c>
    </x:row>
    <x:row r="11">
      <x:c r="A11" s="25" t="str">
        <x:v>S6</x:v>
      </x:c>
      <x:c r="B11" s="25" t="str">
        <x:v>Corporate income tax</x:v>
      </x:c>
      <x:c r="C11" s="25" t="str">
        <x:v>25%</x:v>
      </x:c>
      <x:c r="D11" s="25" t="str">
        <x:v>current law</x:v>
      </x:c>
      <x:c r="E11" s="25" t="str">
        <x:v>https://fgk.chinatax.gov.cn/zcfgk/c100009/c5193018/content.html</x:v>
      </x:c>
      <x:c r="F11" s="25" t="str">
        <x:v>Conservative income-tax assumption.</x:v>
      </x:c>
    </x:row>
    <x:row r="12">
      <x:c r="A12" s="25" t="str">
        <x:v>A1</x:v>
      </x:c>
      <x:c r="B12" s="25" t="str">
        <x:v>Discount rate</x:v>
      </x:c>
      <x:c r="C12" s="25" t="str">
        <x:v>10%</x:v>
      </x:c>
      <x:c r="D12" s="25" t="str">
        <x:v>Experiment assumption</x:v>
      </x:c>
      <x:c r="E12" s="25" t="str">
        <x:v>Analyst assumption</x:v>
      </x:c>
      <x:c r="F12" s="25" t="str">
        <x:v>Small software-project opportunity cost and risk premium.</x:v>
      </x:c>
    </x:row>
    <x:row r="13">
      <x:c r="A13" s="25" t="str">
        <x:v>A2</x:v>
      </x:c>
      <x:c r="B13" s="25" t="str">
        <x:v>Commercialization investment</x:v>
      </x:c>
      <x:c r="C13" s="25" t="str">
        <x:v>¥250,000</x:v>
      </x:c>
      <x:c r="D13" s="25" t="str">
        <x:v>Experiment assumption</x:v>
      </x:c>
      <x:c r="E13" s="25" t="str">
        <x:v>Analyst assumption</x:v>
      </x:c>
      <x:c r="F13" s="25" t="str">
        <x:v>Prototype value, hardening, compliance, launch and working capital.</x:v>
      </x:c>
    </x:row>
    <x:row r="14">
      <x:c r="A14" s="25" t="str">
        <x:v>A3</x:v>
      </x:c>
      <x:c r="B14" s="25" t="str">
        <x:v>Developer opportunity cost</x:v>
      </x:c>
      <x:c r="C14" s="25" t="str">
        <x:v>¥80/hour</x:v>
      </x:c>
      <x:c r="D14" s="25" t="str">
        <x:v>Experiment assumption</x:v>
      </x:c>
      <x:c r="E14" s="25" t="str">
        <x:v>Analyst assumption</x:v>
      </x:c>
      <x:c r="F14" s="25" t="str">
        <x:v>Used to value student project effort economically.</x:v>
      </x:c>
    </x:row>
    <x:row r="15">
      <x:c r="A15" s="25" t="str">
        <x:v>A4</x:v>
      </x:c>
      <x:c r="B15" s="25" t="str">
        <x:v>Average AI task profile</x:v>
      </x:c>
      <x:c r="C15" s="25" t="str">
        <x:v>8k tokens + legal data buffer</x:v>
      </x:c>
      <x:c r="D15" s="25" t="str">
        <x:v>Experiment assumption</x:v>
      </x:c>
      <x:c r="E15" s="25" t="str">
        <x:v>Analyst assumption</x:v>
      </x:c>
      <x:c r="F15" s="25" t="str">
        <x:v>Legal consultation/review mixed workload.</x:v>
      </x:c>
    </x:row>
  </x:sheetData>
  <x:mergeCells>
    <x:mergeCell ref="A1:F1"/>
  </x:mergeCells>
  <x:pageMargins left="0.7" right="0.7" top="0.75" bottom="0.75" header="0.3" footer="0.3"/>
</x:worksheet>
</file>